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Players" sheetId="3" state="visible" r:id="rId3"/>
    <sheet xmlns:r="http://schemas.openxmlformats.org/officeDocument/2006/relationships" name="Buy-ins" sheetId="4" state="visible" r:id="rId4"/>
    <sheet xmlns:r="http://schemas.openxmlformats.org/officeDocument/2006/relationships" name="Matches" sheetId="5" state="visible" r:id="rId5"/>
    <sheet xmlns:r="http://schemas.openxmlformats.org/officeDocument/2006/relationships" name="Cash-out" sheetId="6" state="visible" r:id="rId6"/>
    <sheet xmlns:r="http://schemas.openxmlformats.org/officeDocument/2006/relationships" name="Settings" sheetId="7" state="visible" r:id="rId7"/>
    <sheet xmlns:r="http://schemas.openxmlformats.org/officeDocument/2006/relationships" name="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+$#,##0.00;-$#,##0.00;$0.00"/>
  </numFmts>
  <fonts count="13">
    <font>
      <name val="Calibri"/>
      <family val="2"/>
      <color theme="1"/>
      <sz val="11"/>
      <scheme val="minor"/>
    </font>
    <font>
      <name val="Arial"/>
      <b val="1"/>
      <color rgb="001F4E3D"/>
      <sz val="20"/>
    </font>
    <font>
      <name val="Arial"/>
      <sz val="11"/>
    </font>
    <font>
      <name val="Arial"/>
      <b val="1"/>
      <sz val="16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i val="1"/>
      <color rgb="005B6662"/>
      <sz val="9"/>
    </font>
    <font>
      <name val="Arial"/>
      <i val="1"/>
      <color rgb="005B6662"/>
    </font>
    <font>
      <name val="Arial"/>
      <b val="1"/>
      <color rgb="001F4E3D"/>
      <sz val="18"/>
    </font>
    <font>
      <name val="Arial"/>
      <b val="1"/>
      <sz val="13"/>
    </font>
    <font>
      <name val="Arial"/>
      <b val="1"/>
      <sz val="12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1F4E3D"/>
      </patternFill>
    </fill>
    <fill>
      <patternFill patternType="solid">
        <fgColor rgb="00DCE8E2"/>
      </patternFill>
    </fill>
  </fills>
  <borders count="2">
    <border>
      <left/>
      <right/>
      <top/>
      <bottom/>
      <diagonal/>
    </border>
    <border>
      <bottom style="thin">
        <color rgb="00D0D7D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10" fillId="4" borderId="0" pivotButton="0" quotePrefix="0" xfId="0"/>
    <xf numFmtId="0" fontId="12" fillId="4" borderId="0" pivotButton="0" quotePrefix="0" xfId="0"/>
    <xf numFmtId="0" fontId="11" fillId="0" borderId="0" applyAlignment="1" pivotButton="0" quotePrefix="0" xfId="0">
      <alignment/>
    </xf>
    <xf numFmtId="0" fontId="5" fillId="3" borderId="0" applyAlignment="1" pivotButton="0" quotePrefix="0" xfId="0">
      <alignment horizontal="center" vertical="center" wrapText="1"/>
    </xf>
    <xf numFmtId="0" fontId="12" fillId="0" borderId="1" pivotButton="0" quotePrefix="0" xfId="0"/>
    <xf numFmtId="0" fontId="6" fillId="0" borderId="1" pivotButton="0" quotePrefix="0" xfId="0"/>
    <xf numFmtId="0" fontId="11" fillId="0" borderId="0" pivotButton="0" quotePrefix="0" xfId="0"/>
    <xf numFmtId="164" fontId="11" fillId="0" borderId="0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2" fillId="0" borderId="0" pivotButton="0" quotePrefix="0" xfId="0"/>
    <xf numFmtId="165" fontId="1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0" fontId="4" fillId="2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BEFC9"/>
        </patternFill>
      </fill>
    </dxf>
    <dxf>
      <font>
        <b val="1"/>
        <color rgb="001D7A4C"/>
      </font>
    </dxf>
    <dxf>
      <font>
        <b val="1"/>
        <color rgb="00BF3527"/>
      </font>
    </dxf>
    <dxf>
      <fill>
        <patternFill patternType="solid">
          <fgColor rgb="00FFF7CC"/>
        </patternFill>
      </fill>
    </dxf>
    <dxf>
      <fill>
        <patternFill patternType="solid">
          <fgColor rgb="00FBD9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Game Night</author>
  </authors>
  <commentList>
    <comment ref="A1" authorId="0" shapeId="0">
      <text>
        <t>Type each name once, the same way every time.</t>
      </text>
    </comment>
  </commentList>
</comments>
</file>

<file path=xl/comments/comment2.xml><?xml version="1.0" encoding="utf-8"?>
<comments xmlns="http://schemas.openxmlformats.org/spreadsheetml/2006/main">
  <authors>
    <author>Game Night</author>
  </authors>
  <commentList>
    <comment ref="A1" authorId="0" shapeId="0">
      <text>
        <t>Optional, e.g. 9:15 PM</t>
      </text>
    </comment>
    <comment ref="C1" authorId="0" shapeId="0">
      <text>
        <t>Leave blank for a standard buy-in (Settings). Type an amount only for a custom buy-in.</t>
      </text>
    </comment>
  </commentList>
</comments>
</file>

<file path=xl/comments/comment3.xml><?xml version="1.0" encoding="utf-8"?>
<comments xmlns="http://schemas.openxmlformats.org/spreadsheetml/2006/main">
  <authors>
    <author>Game Night</author>
  </authors>
  <commentList>
    <comment ref="A1" authorId="0" shapeId="0">
      <text>
        <t>Group counts in the group table (both players must be in the same group). Knockout counts overall. Friendly never counts.</t>
      </text>
    </comment>
    <comment ref="I1" authorId="0" shapeId="0">
      <text>
        <t>Live while playing, Final when it ends. Only Final matches count.</t>
      </text>
    </comment>
    <comment ref="J1" authorId="0" shapeId="0">
      <text>
        <t>Only for a knockout that ends level.</t>
      </text>
    </comment>
  </commentList>
</comments>
</file>

<file path=xl/comments/comment4.xml><?xml version="1.0" encoding="utf-8"?>
<comments xmlns="http://schemas.openxmlformats.org/spreadsheetml/2006/main">
  <authors>
    <author>Game Night</author>
  </authors>
  <commentList>
    <comment ref="B1" authorId="0" shapeId="0">
      <text>
        <t>Count the chips of each colour each player has at the end.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Game Night</t>
        </is>
      </c>
    </row>
    <row r="2">
      <c r="A2" s="2" t="inlineStr">
        <is>
          <t>Poker buy-ins and the FIFA tournament, shared by everyone with the link.</t>
        </is>
      </c>
    </row>
    <row r="3">
      <c r="A3" s="2" t="inlineStr"/>
    </row>
    <row r="4">
      <c r="A4" s="2" t="inlineStr">
        <is>
          <t>1. Players: add your name, pick your group, usual team, and whether you play poker and FIFA.</t>
        </is>
      </c>
    </row>
    <row r="5">
      <c r="A5" s="2" t="inlineStr">
        <is>
          <t>2. Buy-ins: add one row each time someone buys in. Leave Amount blank for a standard $20 buy-in.</t>
        </is>
      </c>
    </row>
    <row r="6">
      <c r="A6" s="2" t="inlineStr">
        <is>
          <t>3. Matches: when a FIFA game starts, add a row with both players and teams and set Status to Live.</t>
        </is>
      </c>
    </row>
    <row r="7">
      <c r="A7" s="2" t="inlineStr">
        <is>
          <t xml:space="preserve">    Update the goals as you play. Set Status to Final when it ends. For a knockout draw, pick who won on penalties.</t>
        </is>
      </c>
    </row>
    <row r="8">
      <c r="A8" s="2" t="inlineStr">
        <is>
          <t>4. Cash-out: at the end of the night, type how many chips of each colour each player has.</t>
        </is>
      </c>
    </row>
    <row r="9">
      <c r="A9" s="2" t="inlineStr">
        <is>
          <t>5. Leaderboard: live matches, group tables, the overall FIFA table and poker results update by themselves.</t>
        </is>
      </c>
    </row>
    <row r="10">
      <c r="A10" s="2" t="inlineStr"/>
    </row>
    <row r="11">
      <c r="A11" s="2" t="inlineStr">
        <is>
          <t>Yellow cells are the ones to fill in. Everything else is calculated.</t>
        </is>
      </c>
    </row>
    <row r="12">
      <c r="A12" s="2" t="inlineStr">
        <is>
          <t>Group names, the buy-in amount and chip values are on the Settings tab.</t>
        </is>
      </c>
    </row>
    <row r="13">
      <c r="A13" s="2" t="inlineStr">
        <is>
          <t>Only Final matches count. Friendlies never count. 3 points for a win, 1 for a draw; ties split by goal difference, then goals scored.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9" customWidth="1" min="4" max="4"/>
    <col width="9" customWidth="1" min="5" max="5"/>
    <col width="9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3" customWidth="1" min="12" max="12"/>
    <col hidden="1" outlineLevel="1" width="12" customWidth="1" min="13" max="14"/>
  </cols>
  <sheetData>
    <row r="1">
      <c r="A1" s="3" t="inlineStr">
        <is>
          <t>Leaderboard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inlineStr">
        <is>
          <t>sort key</t>
        </is>
      </c>
      <c r="N2" s="4" t="inlineStr">
        <is>
          <t>row</t>
        </is>
      </c>
    </row>
    <row r="3">
      <c r="A3" s="5" t="inlineStr">
        <is>
          <t>Live now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4" t="n"/>
      <c r="M3" s="4" t="n"/>
      <c r="N3" s="4" t="n"/>
    </row>
    <row r="4">
      <c r="A4" s="7">
        <f>IF($M4="","No matches live right now.",INDEX(Matches!$C:$C,$M4)&amp;IF(INDEX(Matches!$D:$D,$M4)="",""," ("&amp;INDEX(Matches!$D:$D,$M4)&amp;")")&amp;"   "&amp;N(INDEX(Matches!$E:$E,$M4))&amp;" - "&amp;N(INDEX(Matches!$F:$F,$M4))&amp;"   "&amp;INDEX(Matches!$H:$H,$M4)&amp;IF(INDEX(Matches!$G:$G,$M4)="",""," ("&amp;INDEX(Matches!$G:$G,$M4)&amp;")")&amp;"   ["&amp;INDEX(Matches!$A:$A,$M4)&amp;"]")</f>
        <v/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>
        <f>IFERROR(SMALL(Matches!$N:$N,1),"")</f>
        <v/>
      </c>
      <c r="N4" s="4" t="n"/>
    </row>
    <row r="5">
      <c r="A5" s="7">
        <f>IF($M5="","",INDEX(Matches!$C:$C,$M5)&amp;IF(INDEX(Matches!$D:$D,$M5)="",""," ("&amp;INDEX(Matches!$D:$D,$M5)&amp;")")&amp;"   "&amp;N(INDEX(Matches!$E:$E,$M5))&amp;" - "&amp;N(INDEX(Matches!$F:$F,$M5))&amp;"   "&amp;INDEX(Matches!$H:$H,$M5)&amp;IF(INDEX(Matches!$G:$G,$M5)="",""," ("&amp;INDEX(Matches!$G:$G,$M5)&amp;")")&amp;"   ["&amp;INDEX(Matches!$A:$A,$M5)&amp;"]")</f>
        <v/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>
        <f>IFERROR(SMALL(Matches!$N:$N,2),"")</f>
        <v/>
      </c>
      <c r="N5" s="4" t="n"/>
    </row>
    <row r="6">
      <c r="A6" s="7">
        <f>IF($M6="","",INDEX(Matches!$C:$C,$M6)&amp;IF(INDEX(Matches!$D:$D,$M6)="",""," ("&amp;INDEX(Matches!$D:$D,$M6)&amp;")")&amp;"   "&amp;N(INDEX(Matches!$E:$E,$M6))&amp;" - "&amp;N(INDEX(Matches!$F:$F,$M6))&amp;"   "&amp;INDEX(Matches!$H:$H,$M6)&amp;IF(INDEX(Matches!$G:$G,$M6)="",""," ("&amp;INDEX(Matches!$G:$G,$M6)&amp;")")&amp;"   ["&amp;INDEX(Matches!$A:$A,$M6)&amp;"]")</f>
        <v/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>
        <f>IFERROR(SMALL(Matches!$N:$N,3),"")</f>
        <v/>
      </c>
      <c r="N6" s="4" t="n"/>
    </row>
    <row r="7">
      <c r="A7" s="7">
        <f>IF($M7="","",INDEX(Matches!$C:$C,$M7)&amp;IF(INDEX(Matches!$D:$D,$M7)="",""," ("&amp;INDEX(Matches!$D:$D,$M7)&amp;")")&amp;"   "&amp;N(INDEX(Matches!$E:$E,$M7))&amp;" - "&amp;N(INDEX(Matches!$F:$F,$M7))&amp;"   "&amp;INDEX(Matches!$H:$H,$M7)&amp;IF(INDEX(Matches!$G:$G,$M7)="",""," ("&amp;INDEX(Matches!$G:$G,$M7)&amp;")")&amp;"   ["&amp;INDEX(Matches!$A:$A,$M7)&amp;"]")</f>
        <v/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>
        <f>IFERROR(SMALL(Matches!$N:$N,4),"")</f>
        <v/>
      </c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>
        <f>IF(Settings!$A$15="","Group 1 (add the name on the Settings tab)",Settings!$A$15)</f>
        <v/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4" t="n"/>
      <c r="M9" s="4" t="n"/>
      <c r="N9" s="4" t="n"/>
    </row>
    <row r="10">
      <c r="A10" s="8" t="inlineStr">
        <is>
          <t>Rank</t>
        </is>
      </c>
      <c r="B10" s="8" t="inlineStr">
        <is>
          <t>Player</t>
        </is>
      </c>
      <c r="C10" s="8" t="inlineStr">
        <is>
          <t>Group</t>
        </is>
      </c>
      <c r="D10" s="8" t="inlineStr">
        <is>
          <t>P</t>
        </is>
      </c>
      <c r="E10" s="8" t="inlineStr">
        <is>
          <t>W</t>
        </is>
      </c>
      <c r="F10" s="8" t="inlineStr">
        <is>
          <t>D</t>
        </is>
      </c>
      <c r="G10" s="8" t="inlineStr">
        <is>
          <t>L</t>
        </is>
      </c>
      <c r="H10" s="8" t="inlineStr">
        <is>
          <t>GF</t>
        </is>
      </c>
      <c r="I10" s="8" t="inlineStr">
        <is>
          <t>GA</t>
        </is>
      </c>
      <c r="J10" s="8" t="inlineStr">
        <is>
          <t>GD</t>
        </is>
      </c>
      <c r="K10" s="8" t="inlineStr">
        <is>
          <t>Pts</t>
        </is>
      </c>
      <c r="L10" s="4" t="n"/>
      <c r="M10" s="4" t="n"/>
      <c r="N10" s="4" t="n"/>
    </row>
    <row r="11">
      <c r="A11" s="9">
        <f>IF($N11="","",1)</f>
        <v/>
      </c>
      <c r="B11" s="10">
        <f>IF($N11="","",INDEX(Stats!$A$2:$A$26,$N11))</f>
        <v/>
      </c>
      <c r="C11" s="9">
        <f>IF($N11="","",INDEX(Stats!$B$2:$B$26,$N11))</f>
        <v/>
      </c>
      <c r="D11" s="9">
        <f>IF($N11="","",INDEX(Stats!$M$2:$M$26,$N11))</f>
        <v/>
      </c>
      <c r="E11" s="9">
        <f>IF($N11="","",INDEX(Stats!$N$2:$N$26,$N11))</f>
        <v/>
      </c>
      <c r="F11" s="9">
        <f>IF($N11="","",INDEX(Stats!$O$2:$O$26,$N11))</f>
        <v/>
      </c>
      <c r="G11" s="9">
        <f>IF($N11="","",INDEX(Stats!$P$2:$P$26,$N11))</f>
        <v/>
      </c>
      <c r="H11" s="9">
        <f>IF($N11="","",INDEX(Stats!$Q$2:$Q$26,$N11))</f>
        <v/>
      </c>
      <c r="I11" s="9">
        <f>IF($N11="","",INDEX(Stats!$R$2:$R$26,$N11))</f>
        <v/>
      </c>
      <c r="J11" s="9">
        <f>IF($N11="","",INDEX(Stats!$S$2:$S$26,$N11))</f>
        <v/>
      </c>
      <c r="K11" s="9">
        <f>IF($N11="","",INDEX(Stats!$T$2:$T$26,$N11))</f>
        <v/>
      </c>
      <c r="L11" s="4" t="n"/>
      <c r="M11" s="4">
        <f>IFERROR(LARGE(Stats!$V$2:$V$26,COUNTIF(Stats!$V$2:$V$26,"&gt;="&amp;2*1000000000)+1),-1)</f>
        <v/>
      </c>
      <c r="N11" s="4">
        <f>IF($M11&gt;=1*1000000000,MATCH($M11,Stats!$V$2:$V$26,0),"")</f>
        <v/>
      </c>
    </row>
    <row r="12">
      <c r="A12" s="9">
        <f>IF($N12="","",2)</f>
        <v/>
      </c>
      <c r="B12" s="10">
        <f>IF($N12="","",INDEX(Stats!$A$2:$A$26,$N12))</f>
        <v/>
      </c>
      <c r="C12" s="9">
        <f>IF($N12="","",INDEX(Stats!$B$2:$B$26,$N12))</f>
        <v/>
      </c>
      <c r="D12" s="9">
        <f>IF($N12="","",INDEX(Stats!$M$2:$M$26,$N12))</f>
        <v/>
      </c>
      <c r="E12" s="9">
        <f>IF($N12="","",INDEX(Stats!$N$2:$N$26,$N12))</f>
        <v/>
      </c>
      <c r="F12" s="9">
        <f>IF($N12="","",INDEX(Stats!$O$2:$O$26,$N12))</f>
        <v/>
      </c>
      <c r="G12" s="9">
        <f>IF($N12="","",INDEX(Stats!$P$2:$P$26,$N12))</f>
        <v/>
      </c>
      <c r="H12" s="9">
        <f>IF($N12="","",INDEX(Stats!$Q$2:$Q$26,$N12))</f>
        <v/>
      </c>
      <c r="I12" s="9">
        <f>IF($N12="","",INDEX(Stats!$R$2:$R$26,$N12))</f>
        <v/>
      </c>
      <c r="J12" s="9">
        <f>IF($N12="","",INDEX(Stats!$S$2:$S$26,$N12))</f>
        <v/>
      </c>
      <c r="K12" s="9">
        <f>IF($N12="","",INDEX(Stats!$T$2:$T$26,$N12))</f>
        <v/>
      </c>
      <c r="L12" s="4" t="n"/>
      <c r="M12" s="4">
        <f>IFERROR(LARGE(Stats!$V$2:$V$26,COUNTIF(Stats!$V$2:$V$26,"&gt;="&amp;2*1000000000)+2),-1)</f>
        <v/>
      </c>
      <c r="N12" s="4">
        <f>IF($M12&gt;=1*1000000000,MATCH($M12,Stats!$V$2:$V$26,0),"")</f>
        <v/>
      </c>
    </row>
    <row r="13">
      <c r="A13" s="9">
        <f>IF($N13="","",3)</f>
        <v/>
      </c>
      <c r="B13" s="10">
        <f>IF($N13="","",INDEX(Stats!$A$2:$A$26,$N13))</f>
        <v/>
      </c>
      <c r="C13" s="9">
        <f>IF($N13="","",INDEX(Stats!$B$2:$B$26,$N13))</f>
        <v/>
      </c>
      <c r="D13" s="9">
        <f>IF($N13="","",INDEX(Stats!$M$2:$M$26,$N13))</f>
        <v/>
      </c>
      <c r="E13" s="9">
        <f>IF($N13="","",INDEX(Stats!$N$2:$N$26,$N13))</f>
        <v/>
      </c>
      <c r="F13" s="9">
        <f>IF($N13="","",INDEX(Stats!$O$2:$O$26,$N13))</f>
        <v/>
      </c>
      <c r="G13" s="9">
        <f>IF($N13="","",INDEX(Stats!$P$2:$P$26,$N13))</f>
        <v/>
      </c>
      <c r="H13" s="9">
        <f>IF($N13="","",INDEX(Stats!$Q$2:$Q$26,$N13))</f>
        <v/>
      </c>
      <c r="I13" s="9">
        <f>IF($N13="","",INDEX(Stats!$R$2:$R$26,$N13))</f>
        <v/>
      </c>
      <c r="J13" s="9">
        <f>IF($N13="","",INDEX(Stats!$S$2:$S$26,$N13))</f>
        <v/>
      </c>
      <c r="K13" s="9">
        <f>IF($N13="","",INDEX(Stats!$T$2:$T$26,$N13))</f>
        <v/>
      </c>
      <c r="L13" s="4" t="n"/>
      <c r="M13" s="4">
        <f>IFERROR(LARGE(Stats!$V$2:$V$26,COUNTIF(Stats!$V$2:$V$26,"&gt;="&amp;2*1000000000)+3),-1)</f>
        <v/>
      </c>
      <c r="N13" s="4">
        <f>IF($M13&gt;=1*1000000000,MATCH($M13,Stats!$V$2:$V$26,0),"")</f>
        <v/>
      </c>
    </row>
    <row r="14">
      <c r="A14" s="9">
        <f>IF($N14="","",4)</f>
        <v/>
      </c>
      <c r="B14" s="10">
        <f>IF($N14="","",INDEX(Stats!$A$2:$A$26,$N14))</f>
        <v/>
      </c>
      <c r="C14" s="9">
        <f>IF($N14="","",INDEX(Stats!$B$2:$B$26,$N14))</f>
        <v/>
      </c>
      <c r="D14" s="9">
        <f>IF($N14="","",INDEX(Stats!$M$2:$M$26,$N14))</f>
        <v/>
      </c>
      <c r="E14" s="9">
        <f>IF($N14="","",INDEX(Stats!$N$2:$N$26,$N14))</f>
        <v/>
      </c>
      <c r="F14" s="9">
        <f>IF($N14="","",INDEX(Stats!$O$2:$O$26,$N14))</f>
        <v/>
      </c>
      <c r="G14" s="9">
        <f>IF($N14="","",INDEX(Stats!$P$2:$P$26,$N14))</f>
        <v/>
      </c>
      <c r="H14" s="9">
        <f>IF($N14="","",INDEX(Stats!$Q$2:$Q$26,$N14))</f>
        <v/>
      </c>
      <c r="I14" s="9">
        <f>IF($N14="","",INDEX(Stats!$R$2:$R$26,$N14))</f>
        <v/>
      </c>
      <c r="J14" s="9">
        <f>IF($N14="","",INDEX(Stats!$S$2:$S$26,$N14))</f>
        <v/>
      </c>
      <c r="K14" s="9">
        <f>IF($N14="","",INDEX(Stats!$T$2:$T$26,$N14))</f>
        <v/>
      </c>
      <c r="L14" s="4" t="n"/>
      <c r="M14" s="4">
        <f>IFERROR(LARGE(Stats!$V$2:$V$26,COUNTIF(Stats!$V$2:$V$26,"&gt;="&amp;2*1000000000)+4),-1)</f>
        <v/>
      </c>
      <c r="N14" s="4">
        <f>IF($M14&gt;=1*1000000000,MATCH($M14,Stats!$V$2:$V$26,0),"")</f>
        <v/>
      </c>
    </row>
    <row r="15">
      <c r="A15" s="9">
        <f>IF($N15="","",5)</f>
        <v/>
      </c>
      <c r="B15" s="10">
        <f>IF($N15="","",INDEX(Stats!$A$2:$A$26,$N15))</f>
        <v/>
      </c>
      <c r="C15" s="9">
        <f>IF($N15="","",INDEX(Stats!$B$2:$B$26,$N15))</f>
        <v/>
      </c>
      <c r="D15" s="9">
        <f>IF($N15="","",INDEX(Stats!$M$2:$M$26,$N15))</f>
        <v/>
      </c>
      <c r="E15" s="9">
        <f>IF($N15="","",INDEX(Stats!$N$2:$N$26,$N15))</f>
        <v/>
      </c>
      <c r="F15" s="9">
        <f>IF($N15="","",INDEX(Stats!$O$2:$O$26,$N15))</f>
        <v/>
      </c>
      <c r="G15" s="9">
        <f>IF($N15="","",INDEX(Stats!$P$2:$P$26,$N15))</f>
        <v/>
      </c>
      <c r="H15" s="9">
        <f>IF($N15="","",INDEX(Stats!$Q$2:$Q$26,$N15))</f>
        <v/>
      </c>
      <c r="I15" s="9">
        <f>IF($N15="","",INDEX(Stats!$R$2:$R$26,$N15))</f>
        <v/>
      </c>
      <c r="J15" s="9">
        <f>IF($N15="","",INDEX(Stats!$S$2:$S$26,$N15))</f>
        <v/>
      </c>
      <c r="K15" s="9">
        <f>IF($N15="","",INDEX(Stats!$T$2:$T$26,$N15))</f>
        <v/>
      </c>
      <c r="L15" s="4" t="n"/>
      <c r="M15" s="4">
        <f>IFERROR(LARGE(Stats!$V$2:$V$26,COUNTIF(Stats!$V$2:$V$26,"&gt;="&amp;2*1000000000)+5),-1)</f>
        <v/>
      </c>
      <c r="N15" s="4">
        <f>IF($M15&gt;=1*1000000000,MATCH($M15,Stats!$V$2:$V$26,0),"")</f>
        <v/>
      </c>
    </row>
    <row r="16">
      <c r="A16" s="9">
        <f>IF($N16="","",6)</f>
        <v/>
      </c>
      <c r="B16" s="10">
        <f>IF($N16="","",INDEX(Stats!$A$2:$A$26,$N16))</f>
        <v/>
      </c>
      <c r="C16" s="9">
        <f>IF($N16="","",INDEX(Stats!$B$2:$B$26,$N16))</f>
        <v/>
      </c>
      <c r="D16" s="9">
        <f>IF($N16="","",INDEX(Stats!$M$2:$M$26,$N16))</f>
        <v/>
      </c>
      <c r="E16" s="9">
        <f>IF($N16="","",INDEX(Stats!$N$2:$N$26,$N16))</f>
        <v/>
      </c>
      <c r="F16" s="9">
        <f>IF($N16="","",INDEX(Stats!$O$2:$O$26,$N16))</f>
        <v/>
      </c>
      <c r="G16" s="9">
        <f>IF($N16="","",INDEX(Stats!$P$2:$P$26,$N16))</f>
        <v/>
      </c>
      <c r="H16" s="9">
        <f>IF($N16="","",INDEX(Stats!$Q$2:$Q$26,$N16))</f>
        <v/>
      </c>
      <c r="I16" s="9">
        <f>IF($N16="","",INDEX(Stats!$R$2:$R$26,$N16))</f>
        <v/>
      </c>
      <c r="J16" s="9">
        <f>IF($N16="","",INDEX(Stats!$S$2:$S$26,$N16))</f>
        <v/>
      </c>
      <c r="K16" s="9">
        <f>IF($N16="","",INDEX(Stats!$T$2:$T$26,$N16))</f>
        <v/>
      </c>
      <c r="L16" s="4" t="n"/>
      <c r="M16" s="4">
        <f>IFERROR(LARGE(Stats!$V$2:$V$26,COUNTIF(Stats!$V$2:$V$26,"&gt;="&amp;2*1000000000)+6),-1)</f>
        <v/>
      </c>
      <c r="N16" s="4">
        <f>IF($M16&gt;=1*1000000000,MATCH($M16,Stats!$V$2:$V$26,0),"")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5">
        <f>IF(Settings!$A$16="","Group 2 (add the name on the Settings tab)",Settings!$A$16)</f>
        <v/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4" t="n"/>
      <c r="M18" s="4" t="n"/>
      <c r="N18" s="4" t="n"/>
    </row>
    <row r="19">
      <c r="A19" s="8" t="inlineStr">
        <is>
          <t>Rank</t>
        </is>
      </c>
      <c r="B19" s="8" t="inlineStr">
        <is>
          <t>Player</t>
        </is>
      </c>
      <c r="C19" s="8" t="inlineStr">
        <is>
          <t>Group</t>
        </is>
      </c>
      <c r="D19" s="8" t="inlineStr">
        <is>
          <t>P</t>
        </is>
      </c>
      <c r="E19" s="8" t="inlineStr">
        <is>
          <t>W</t>
        </is>
      </c>
      <c r="F19" s="8" t="inlineStr">
        <is>
          <t>D</t>
        </is>
      </c>
      <c r="G19" s="8" t="inlineStr">
        <is>
          <t>L</t>
        </is>
      </c>
      <c r="H19" s="8" t="inlineStr">
        <is>
          <t>GF</t>
        </is>
      </c>
      <c r="I19" s="8" t="inlineStr">
        <is>
          <t>GA</t>
        </is>
      </c>
      <c r="J19" s="8" t="inlineStr">
        <is>
          <t>GD</t>
        </is>
      </c>
      <c r="K19" s="8" t="inlineStr">
        <is>
          <t>Pts</t>
        </is>
      </c>
      <c r="L19" s="4" t="n"/>
      <c r="M19" s="4" t="n"/>
      <c r="N19" s="4" t="n"/>
    </row>
    <row r="20">
      <c r="A20" s="9">
        <f>IF($N20="","",1)</f>
        <v/>
      </c>
      <c r="B20" s="10">
        <f>IF($N20="","",INDEX(Stats!$A$2:$A$26,$N20))</f>
        <v/>
      </c>
      <c r="C20" s="9">
        <f>IF($N20="","",INDEX(Stats!$B$2:$B$26,$N20))</f>
        <v/>
      </c>
      <c r="D20" s="9">
        <f>IF($N20="","",INDEX(Stats!$M$2:$M$26,$N20))</f>
        <v/>
      </c>
      <c r="E20" s="9">
        <f>IF($N20="","",INDEX(Stats!$N$2:$N$26,$N20))</f>
        <v/>
      </c>
      <c r="F20" s="9">
        <f>IF($N20="","",INDEX(Stats!$O$2:$O$26,$N20))</f>
        <v/>
      </c>
      <c r="G20" s="9">
        <f>IF($N20="","",INDEX(Stats!$P$2:$P$26,$N20))</f>
        <v/>
      </c>
      <c r="H20" s="9">
        <f>IF($N20="","",INDEX(Stats!$Q$2:$Q$26,$N20))</f>
        <v/>
      </c>
      <c r="I20" s="9">
        <f>IF($N20="","",INDEX(Stats!$R$2:$R$26,$N20))</f>
        <v/>
      </c>
      <c r="J20" s="9">
        <f>IF($N20="","",INDEX(Stats!$S$2:$S$26,$N20))</f>
        <v/>
      </c>
      <c r="K20" s="9">
        <f>IF($N20="","",INDEX(Stats!$T$2:$T$26,$N20))</f>
        <v/>
      </c>
      <c r="L20" s="4" t="n"/>
      <c r="M20" s="4">
        <f>IFERROR(LARGE(Stats!$V$2:$V$26,COUNTIF(Stats!$V$2:$V$26,"&gt;="&amp;3*1000000000)+1),-1)</f>
        <v/>
      </c>
      <c r="N20" s="4">
        <f>IF($M20&gt;=2*1000000000,MATCH($M20,Stats!$V$2:$V$26,0),"")</f>
        <v/>
      </c>
    </row>
    <row r="21">
      <c r="A21" s="9">
        <f>IF($N21="","",2)</f>
        <v/>
      </c>
      <c r="B21" s="10">
        <f>IF($N21="","",INDEX(Stats!$A$2:$A$26,$N21))</f>
        <v/>
      </c>
      <c r="C21" s="9">
        <f>IF($N21="","",INDEX(Stats!$B$2:$B$26,$N21))</f>
        <v/>
      </c>
      <c r="D21" s="9">
        <f>IF($N21="","",INDEX(Stats!$M$2:$M$26,$N21))</f>
        <v/>
      </c>
      <c r="E21" s="9">
        <f>IF($N21="","",INDEX(Stats!$N$2:$N$26,$N21))</f>
        <v/>
      </c>
      <c r="F21" s="9">
        <f>IF($N21="","",INDEX(Stats!$O$2:$O$26,$N21))</f>
        <v/>
      </c>
      <c r="G21" s="9">
        <f>IF($N21="","",INDEX(Stats!$P$2:$P$26,$N21))</f>
        <v/>
      </c>
      <c r="H21" s="9">
        <f>IF($N21="","",INDEX(Stats!$Q$2:$Q$26,$N21))</f>
        <v/>
      </c>
      <c r="I21" s="9">
        <f>IF($N21="","",INDEX(Stats!$R$2:$R$26,$N21))</f>
        <v/>
      </c>
      <c r="J21" s="9">
        <f>IF($N21="","",INDEX(Stats!$S$2:$S$26,$N21))</f>
        <v/>
      </c>
      <c r="K21" s="9">
        <f>IF($N21="","",INDEX(Stats!$T$2:$T$26,$N21))</f>
        <v/>
      </c>
      <c r="L21" s="4" t="n"/>
      <c r="M21" s="4">
        <f>IFERROR(LARGE(Stats!$V$2:$V$26,COUNTIF(Stats!$V$2:$V$26,"&gt;="&amp;3*1000000000)+2),-1)</f>
        <v/>
      </c>
      <c r="N21" s="4">
        <f>IF($M21&gt;=2*1000000000,MATCH($M21,Stats!$V$2:$V$26,0),"")</f>
        <v/>
      </c>
    </row>
    <row r="22">
      <c r="A22" s="9">
        <f>IF($N22="","",3)</f>
        <v/>
      </c>
      <c r="B22" s="10">
        <f>IF($N22="","",INDEX(Stats!$A$2:$A$26,$N22))</f>
        <v/>
      </c>
      <c r="C22" s="9">
        <f>IF($N22="","",INDEX(Stats!$B$2:$B$26,$N22))</f>
        <v/>
      </c>
      <c r="D22" s="9">
        <f>IF($N22="","",INDEX(Stats!$M$2:$M$26,$N22))</f>
        <v/>
      </c>
      <c r="E22" s="9">
        <f>IF($N22="","",INDEX(Stats!$N$2:$N$26,$N22))</f>
        <v/>
      </c>
      <c r="F22" s="9">
        <f>IF($N22="","",INDEX(Stats!$O$2:$O$26,$N22))</f>
        <v/>
      </c>
      <c r="G22" s="9">
        <f>IF($N22="","",INDEX(Stats!$P$2:$P$26,$N22))</f>
        <v/>
      </c>
      <c r="H22" s="9">
        <f>IF($N22="","",INDEX(Stats!$Q$2:$Q$26,$N22))</f>
        <v/>
      </c>
      <c r="I22" s="9">
        <f>IF($N22="","",INDEX(Stats!$R$2:$R$26,$N22))</f>
        <v/>
      </c>
      <c r="J22" s="9">
        <f>IF($N22="","",INDEX(Stats!$S$2:$S$26,$N22))</f>
        <v/>
      </c>
      <c r="K22" s="9">
        <f>IF($N22="","",INDEX(Stats!$T$2:$T$26,$N22))</f>
        <v/>
      </c>
      <c r="L22" s="4" t="n"/>
      <c r="M22" s="4">
        <f>IFERROR(LARGE(Stats!$V$2:$V$26,COUNTIF(Stats!$V$2:$V$26,"&gt;="&amp;3*1000000000)+3),-1)</f>
        <v/>
      </c>
      <c r="N22" s="4">
        <f>IF($M22&gt;=2*1000000000,MATCH($M22,Stats!$V$2:$V$26,0),"")</f>
        <v/>
      </c>
    </row>
    <row r="23">
      <c r="A23" s="9">
        <f>IF($N23="","",4)</f>
        <v/>
      </c>
      <c r="B23" s="10">
        <f>IF($N23="","",INDEX(Stats!$A$2:$A$26,$N23))</f>
        <v/>
      </c>
      <c r="C23" s="9">
        <f>IF($N23="","",INDEX(Stats!$B$2:$B$26,$N23))</f>
        <v/>
      </c>
      <c r="D23" s="9">
        <f>IF($N23="","",INDEX(Stats!$M$2:$M$26,$N23))</f>
        <v/>
      </c>
      <c r="E23" s="9">
        <f>IF($N23="","",INDEX(Stats!$N$2:$N$26,$N23))</f>
        <v/>
      </c>
      <c r="F23" s="9">
        <f>IF($N23="","",INDEX(Stats!$O$2:$O$26,$N23))</f>
        <v/>
      </c>
      <c r="G23" s="9">
        <f>IF($N23="","",INDEX(Stats!$P$2:$P$26,$N23))</f>
        <v/>
      </c>
      <c r="H23" s="9">
        <f>IF($N23="","",INDEX(Stats!$Q$2:$Q$26,$N23))</f>
        <v/>
      </c>
      <c r="I23" s="9">
        <f>IF($N23="","",INDEX(Stats!$R$2:$R$26,$N23))</f>
        <v/>
      </c>
      <c r="J23" s="9">
        <f>IF($N23="","",INDEX(Stats!$S$2:$S$26,$N23))</f>
        <v/>
      </c>
      <c r="K23" s="9">
        <f>IF($N23="","",INDEX(Stats!$T$2:$T$26,$N23))</f>
        <v/>
      </c>
      <c r="L23" s="4" t="n"/>
      <c r="M23" s="4">
        <f>IFERROR(LARGE(Stats!$V$2:$V$26,COUNTIF(Stats!$V$2:$V$26,"&gt;="&amp;3*1000000000)+4),-1)</f>
        <v/>
      </c>
      <c r="N23" s="4">
        <f>IF($M23&gt;=2*1000000000,MATCH($M23,Stats!$V$2:$V$26,0),"")</f>
        <v/>
      </c>
    </row>
    <row r="24">
      <c r="A24" s="9">
        <f>IF($N24="","",5)</f>
        <v/>
      </c>
      <c r="B24" s="10">
        <f>IF($N24="","",INDEX(Stats!$A$2:$A$26,$N24))</f>
        <v/>
      </c>
      <c r="C24" s="9">
        <f>IF($N24="","",INDEX(Stats!$B$2:$B$26,$N24))</f>
        <v/>
      </c>
      <c r="D24" s="9">
        <f>IF($N24="","",INDEX(Stats!$M$2:$M$26,$N24))</f>
        <v/>
      </c>
      <c r="E24" s="9">
        <f>IF($N24="","",INDEX(Stats!$N$2:$N$26,$N24))</f>
        <v/>
      </c>
      <c r="F24" s="9">
        <f>IF($N24="","",INDEX(Stats!$O$2:$O$26,$N24))</f>
        <v/>
      </c>
      <c r="G24" s="9">
        <f>IF($N24="","",INDEX(Stats!$P$2:$P$26,$N24))</f>
        <v/>
      </c>
      <c r="H24" s="9">
        <f>IF($N24="","",INDEX(Stats!$Q$2:$Q$26,$N24))</f>
        <v/>
      </c>
      <c r="I24" s="9">
        <f>IF($N24="","",INDEX(Stats!$R$2:$R$26,$N24))</f>
        <v/>
      </c>
      <c r="J24" s="9">
        <f>IF($N24="","",INDEX(Stats!$S$2:$S$26,$N24))</f>
        <v/>
      </c>
      <c r="K24" s="9">
        <f>IF($N24="","",INDEX(Stats!$T$2:$T$26,$N24))</f>
        <v/>
      </c>
      <c r="L24" s="4" t="n"/>
      <c r="M24" s="4">
        <f>IFERROR(LARGE(Stats!$V$2:$V$26,COUNTIF(Stats!$V$2:$V$26,"&gt;="&amp;3*1000000000)+5),-1)</f>
        <v/>
      </c>
      <c r="N24" s="4">
        <f>IF($M24&gt;=2*1000000000,MATCH($M24,Stats!$V$2:$V$26,0),"")</f>
        <v/>
      </c>
    </row>
    <row r="25">
      <c r="A25" s="9">
        <f>IF($N25="","",6)</f>
        <v/>
      </c>
      <c r="B25" s="10">
        <f>IF($N25="","",INDEX(Stats!$A$2:$A$26,$N25))</f>
        <v/>
      </c>
      <c r="C25" s="9">
        <f>IF($N25="","",INDEX(Stats!$B$2:$B$26,$N25))</f>
        <v/>
      </c>
      <c r="D25" s="9">
        <f>IF($N25="","",INDEX(Stats!$M$2:$M$26,$N25))</f>
        <v/>
      </c>
      <c r="E25" s="9">
        <f>IF($N25="","",INDEX(Stats!$N$2:$N$26,$N25))</f>
        <v/>
      </c>
      <c r="F25" s="9">
        <f>IF($N25="","",INDEX(Stats!$O$2:$O$26,$N25))</f>
        <v/>
      </c>
      <c r="G25" s="9">
        <f>IF($N25="","",INDEX(Stats!$P$2:$P$26,$N25))</f>
        <v/>
      </c>
      <c r="H25" s="9">
        <f>IF($N25="","",INDEX(Stats!$Q$2:$Q$26,$N25))</f>
        <v/>
      </c>
      <c r="I25" s="9">
        <f>IF($N25="","",INDEX(Stats!$R$2:$R$26,$N25))</f>
        <v/>
      </c>
      <c r="J25" s="9">
        <f>IF($N25="","",INDEX(Stats!$S$2:$S$26,$N25))</f>
        <v/>
      </c>
      <c r="K25" s="9">
        <f>IF($N25="","",INDEX(Stats!$T$2:$T$26,$N25))</f>
        <v/>
      </c>
      <c r="L25" s="4" t="n"/>
      <c r="M25" s="4">
        <f>IFERROR(LARGE(Stats!$V$2:$V$26,COUNTIF(Stats!$V$2:$V$26,"&gt;="&amp;3*1000000000)+6),-1)</f>
        <v/>
      </c>
      <c r="N25" s="4">
        <f>IF($M25&gt;=2*1000000000,MATCH($M25,Stats!$V$2:$V$26,0),"")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>
        <f>IF(Settings!$A$17="","Group 3 (add the name on the Settings tab)",Settings!$A$17)</f>
        <v/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4" t="n"/>
      <c r="M27" s="4" t="n"/>
      <c r="N27" s="4" t="n"/>
    </row>
    <row r="28">
      <c r="A28" s="8" t="inlineStr">
        <is>
          <t>Rank</t>
        </is>
      </c>
      <c r="B28" s="8" t="inlineStr">
        <is>
          <t>Player</t>
        </is>
      </c>
      <c r="C28" s="8" t="inlineStr">
        <is>
          <t>Group</t>
        </is>
      </c>
      <c r="D28" s="8" t="inlineStr">
        <is>
          <t>P</t>
        </is>
      </c>
      <c r="E28" s="8" t="inlineStr">
        <is>
          <t>W</t>
        </is>
      </c>
      <c r="F28" s="8" t="inlineStr">
        <is>
          <t>D</t>
        </is>
      </c>
      <c r="G28" s="8" t="inlineStr">
        <is>
          <t>L</t>
        </is>
      </c>
      <c r="H28" s="8" t="inlineStr">
        <is>
          <t>GF</t>
        </is>
      </c>
      <c r="I28" s="8" t="inlineStr">
        <is>
          <t>GA</t>
        </is>
      </c>
      <c r="J28" s="8" t="inlineStr">
        <is>
          <t>GD</t>
        </is>
      </c>
      <c r="K28" s="8" t="inlineStr">
        <is>
          <t>Pts</t>
        </is>
      </c>
      <c r="L28" s="4" t="n"/>
      <c r="M28" s="4" t="n"/>
      <c r="N28" s="4" t="n"/>
    </row>
    <row r="29">
      <c r="A29" s="9">
        <f>IF($N29="","",1)</f>
        <v/>
      </c>
      <c r="B29" s="10">
        <f>IF($N29="","",INDEX(Stats!$A$2:$A$26,$N29))</f>
        <v/>
      </c>
      <c r="C29" s="9">
        <f>IF($N29="","",INDEX(Stats!$B$2:$B$26,$N29))</f>
        <v/>
      </c>
      <c r="D29" s="9">
        <f>IF($N29="","",INDEX(Stats!$M$2:$M$26,$N29))</f>
        <v/>
      </c>
      <c r="E29" s="9">
        <f>IF($N29="","",INDEX(Stats!$N$2:$N$26,$N29))</f>
        <v/>
      </c>
      <c r="F29" s="9">
        <f>IF($N29="","",INDEX(Stats!$O$2:$O$26,$N29))</f>
        <v/>
      </c>
      <c r="G29" s="9">
        <f>IF($N29="","",INDEX(Stats!$P$2:$P$26,$N29))</f>
        <v/>
      </c>
      <c r="H29" s="9">
        <f>IF($N29="","",INDEX(Stats!$Q$2:$Q$26,$N29))</f>
        <v/>
      </c>
      <c r="I29" s="9">
        <f>IF($N29="","",INDEX(Stats!$R$2:$R$26,$N29))</f>
        <v/>
      </c>
      <c r="J29" s="9">
        <f>IF($N29="","",INDEX(Stats!$S$2:$S$26,$N29))</f>
        <v/>
      </c>
      <c r="K29" s="9">
        <f>IF($N29="","",INDEX(Stats!$T$2:$T$26,$N29))</f>
        <v/>
      </c>
      <c r="L29" s="4" t="n"/>
      <c r="M29" s="4">
        <f>IFERROR(LARGE(Stats!$V$2:$V$26,COUNTIF(Stats!$V$2:$V$26,"&gt;="&amp;4*1000000000)+1),-1)</f>
        <v/>
      </c>
      <c r="N29" s="4">
        <f>IF($M29&gt;=3*1000000000,MATCH($M29,Stats!$V$2:$V$26,0),"")</f>
        <v/>
      </c>
    </row>
    <row r="30">
      <c r="A30" s="9">
        <f>IF($N30="","",2)</f>
        <v/>
      </c>
      <c r="B30" s="10">
        <f>IF($N30="","",INDEX(Stats!$A$2:$A$26,$N30))</f>
        <v/>
      </c>
      <c r="C30" s="9">
        <f>IF($N30="","",INDEX(Stats!$B$2:$B$26,$N30))</f>
        <v/>
      </c>
      <c r="D30" s="9">
        <f>IF($N30="","",INDEX(Stats!$M$2:$M$26,$N30))</f>
        <v/>
      </c>
      <c r="E30" s="9">
        <f>IF($N30="","",INDEX(Stats!$N$2:$N$26,$N30))</f>
        <v/>
      </c>
      <c r="F30" s="9">
        <f>IF($N30="","",INDEX(Stats!$O$2:$O$26,$N30))</f>
        <v/>
      </c>
      <c r="G30" s="9">
        <f>IF($N30="","",INDEX(Stats!$P$2:$P$26,$N30))</f>
        <v/>
      </c>
      <c r="H30" s="9">
        <f>IF($N30="","",INDEX(Stats!$Q$2:$Q$26,$N30))</f>
        <v/>
      </c>
      <c r="I30" s="9">
        <f>IF($N30="","",INDEX(Stats!$R$2:$R$26,$N30))</f>
        <v/>
      </c>
      <c r="J30" s="9">
        <f>IF($N30="","",INDEX(Stats!$S$2:$S$26,$N30))</f>
        <v/>
      </c>
      <c r="K30" s="9">
        <f>IF($N30="","",INDEX(Stats!$T$2:$T$26,$N30))</f>
        <v/>
      </c>
      <c r="L30" s="4" t="n"/>
      <c r="M30" s="4">
        <f>IFERROR(LARGE(Stats!$V$2:$V$26,COUNTIF(Stats!$V$2:$V$26,"&gt;="&amp;4*1000000000)+2),-1)</f>
        <v/>
      </c>
      <c r="N30" s="4">
        <f>IF($M30&gt;=3*1000000000,MATCH($M30,Stats!$V$2:$V$26,0),"")</f>
        <v/>
      </c>
    </row>
    <row r="31">
      <c r="A31" s="9">
        <f>IF($N31="","",3)</f>
        <v/>
      </c>
      <c r="B31" s="10">
        <f>IF($N31="","",INDEX(Stats!$A$2:$A$26,$N31))</f>
        <v/>
      </c>
      <c r="C31" s="9">
        <f>IF($N31="","",INDEX(Stats!$B$2:$B$26,$N31))</f>
        <v/>
      </c>
      <c r="D31" s="9">
        <f>IF($N31="","",INDEX(Stats!$M$2:$M$26,$N31))</f>
        <v/>
      </c>
      <c r="E31" s="9">
        <f>IF($N31="","",INDEX(Stats!$N$2:$N$26,$N31))</f>
        <v/>
      </c>
      <c r="F31" s="9">
        <f>IF($N31="","",INDEX(Stats!$O$2:$O$26,$N31))</f>
        <v/>
      </c>
      <c r="G31" s="9">
        <f>IF($N31="","",INDEX(Stats!$P$2:$P$26,$N31))</f>
        <v/>
      </c>
      <c r="H31" s="9">
        <f>IF($N31="","",INDEX(Stats!$Q$2:$Q$26,$N31))</f>
        <v/>
      </c>
      <c r="I31" s="9">
        <f>IF($N31="","",INDEX(Stats!$R$2:$R$26,$N31))</f>
        <v/>
      </c>
      <c r="J31" s="9">
        <f>IF($N31="","",INDEX(Stats!$S$2:$S$26,$N31))</f>
        <v/>
      </c>
      <c r="K31" s="9">
        <f>IF($N31="","",INDEX(Stats!$T$2:$T$26,$N31))</f>
        <v/>
      </c>
      <c r="L31" s="4" t="n"/>
      <c r="M31" s="4">
        <f>IFERROR(LARGE(Stats!$V$2:$V$26,COUNTIF(Stats!$V$2:$V$26,"&gt;="&amp;4*1000000000)+3),-1)</f>
        <v/>
      </c>
      <c r="N31" s="4">
        <f>IF($M31&gt;=3*1000000000,MATCH($M31,Stats!$V$2:$V$26,0),"")</f>
        <v/>
      </c>
    </row>
    <row r="32">
      <c r="A32" s="9">
        <f>IF($N32="","",4)</f>
        <v/>
      </c>
      <c r="B32" s="10">
        <f>IF($N32="","",INDEX(Stats!$A$2:$A$26,$N32))</f>
        <v/>
      </c>
      <c r="C32" s="9">
        <f>IF($N32="","",INDEX(Stats!$B$2:$B$26,$N32))</f>
        <v/>
      </c>
      <c r="D32" s="9">
        <f>IF($N32="","",INDEX(Stats!$M$2:$M$26,$N32))</f>
        <v/>
      </c>
      <c r="E32" s="9">
        <f>IF($N32="","",INDEX(Stats!$N$2:$N$26,$N32))</f>
        <v/>
      </c>
      <c r="F32" s="9">
        <f>IF($N32="","",INDEX(Stats!$O$2:$O$26,$N32))</f>
        <v/>
      </c>
      <c r="G32" s="9">
        <f>IF($N32="","",INDEX(Stats!$P$2:$P$26,$N32))</f>
        <v/>
      </c>
      <c r="H32" s="9">
        <f>IF($N32="","",INDEX(Stats!$Q$2:$Q$26,$N32))</f>
        <v/>
      </c>
      <c r="I32" s="9">
        <f>IF($N32="","",INDEX(Stats!$R$2:$R$26,$N32))</f>
        <v/>
      </c>
      <c r="J32" s="9">
        <f>IF($N32="","",INDEX(Stats!$S$2:$S$26,$N32))</f>
        <v/>
      </c>
      <c r="K32" s="9">
        <f>IF($N32="","",INDEX(Stats!$T$2:$T$26,$N32))</f>
        <v/>
      </c>
      <c r="L32" s="4" t="n"/>
      <c r="M32" s="4">
        <f>IFERROR(LARGE(Stats!$V$2:$V$26,COUNTIF(Stats!$V$2:$V$26,"&gt;="&amp;4*1000000000)+4),-1)</f>
        <v/>
      </c>
      <c r="N32" s="4">
        <f>IF($M32&gt;=3*1000000000,MATCH($M32,Stats!$V$2:$V$26,0),"")</f>
        <v/>
      </c>
    </row>
    <row r="33">
      <c r="A33" s="9">
        <f>IF($N33="","",5)</f>
        <v/>
      </c>
      <c r="B33" s="10">
        <f>IF($N33="","",INDEX(Stats!$A$2:$A$26,$N33))</f>
        <v/>
      </c>
      <c r="C33" s="9">
        <f>IF($N33="","",INDEX(Stats!$B$2:$B$26,$N33))</f>
        <v/>
      </c>
      <c r="D33" s="9">
        <f>IF($N33="","",INDEX(Stats!$M$2:$M$26,$N33))</f>
        <v/>
      </c>
      <c r="E33" s="9">
        <f>IF($N33="","",INDEX(Stats!$N$2:$N$26,$N33))</f>
        <v/>
      </c>
      <c r="F33" s="9">
        <f>IF($N33="","",INDEX(Stats!$O$2:$O$26,$N33))</f>
        <v/>
      </c>
      <c r="G33" s="9">
        <f>IF($N33="","",INDEX(Stats!$P$2:$P$26,$N33))</f>
        <v/>
      </c>
      <c r="H33" s="9">
        <f>IF($N33="","",INDEX(Stats!$Q$2:$Q$26,$N33))</f>
        <v/>
      </c>
      <c r="I33" s="9">
        <f>IF($N33="","",INDEX(Stats!$R$2:$R$26,$N33))</f>
        <v/>
      </c>
      <c r="J33" s="9">
        <f>IF($N33="","",INDEX(Stats!$S$2:$S$26,$N33))</f>
        <v/>
      </c>
      <c r="K33" s="9">
        <f>IF($N33="","",INDEX(Stats!$T$2:$T$26,$N33))</f>
        <v/>
      </c>
      <c r="L33" s="4" t="n"/>
      <c r="M33" s="4">
        <f>IFERROR(LARGE(Stats!$V$2:$V$26,COUNTIF(Stats!$V$2:$V$26,"&gt;="&amp;4*1000000000)+5),-1)</f>
        <v/>
      </c>
      <c r="N33" s="4">
        <f>IF($M33&gt;=3*1000000000,MATCH($M33,Stats!$V$2:$V$26,0),"")</f>
        <v/>
      </c>
    </row>
    <row r="34">
      <c r="A34" s="9">
        <f>IF($N34="","",6)</f>
        <v/>
      </c>
      <c r="B34" s="10">
        <f>IF($N34="","",INDEX(Stats!$A$2:$A$26,$N34))</f>
        <v/>
      </c>
      <c r="C34" s="9">
        <f>IF($N34="","",INDEX(Stats!$B$2:$B$26,$N34))</f>
        <v/>
      </c>
      <c r="D34" s="9">
        <f>IF($N34="","",INDEX(Stats!$M$2:$M$26,$N34))</f>
        <v/>
      </c>
      <c r="E34" s="9">
        <f>IF($N34="","",INDEX(Stats!$N$2:$N$26,$N34))</f>
        <v/>
      </c>
      <c r="F34" s="9">
        <f>IF($N34="","",INDEX(Stats!$O$2:$O$26,$N34))</f>
        <v/>
      </c>
      <c r="G34" s="9">
        <f>IF($N34="","",INDEX(Stats!$P$2:$P$26,$N34))</f>
        <v/>
      </c>
      <c r="H34" s="9">
        <f>IF($N34="","",INDEX(Stats!$Q$2:$Q$26,$N34))</f>
        <v/>
      </c>
      <c r="I34" s="9">
        <f>IF($N34="","",INDEX(Stats!$R$2:$R$26,$N34))</f>
        <v/>
      </c>
      <c r="J34" s="9">
        <f>IF($N34="","",INDEX(Stats!$S$2:$S$26,$N34))</f>
        <v/>
      </c>
      <c r="K34" s="9">
        <f>IF($N34="","",INDEX(Stats!$T$2:$T$26,$N34))</f>
        <v/>
      </c>
      <c r="L34" s="4" t="n"/>
      <c r="M34" s="4">
        <f>IFERROR(LARGE(Stats!$V$2:$V$26,COUNTIF(Stats!$V$2:$V$26,"&gt;="&amp;4*1000000000)+6),-1)</f>
        <v/>
      </c>
      <c r="N34" s="4">
        <f>IF($M34&gt;=3*1000000000,MATCH($M34,Stats!$V$2:$V$26,0),"")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5">
        <f>IF(Settings!$A$18="","Group 4 (add the name on the Settings tab)",Settings!$A$18)</f>
        <v/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4" t="n"/>
      <c r="M36" s="4" t="n"/>
      <c r="N36" s="4" t="n"/>
    </row>
    <row r="37">
      <c r="A37" s="8" t="inlineStr">
        <is>
          <t>Rank</t>
        </is>
      </c>
      <c r="B37" s="8" t="inlineStr">
        <is>
          <t>Player</t>
        </is>
      </c>
      <c r="C37" s="8" t="inlineStr">
        <is>
          <t>Group</t>
        </is>
      </c>
      <c r="D37" s="8" t="inlineStr">
        <is>
          <t>P</t>
        </is>
      </c>
      <c r="E37" s="8" t="inlineStr">
        <is>
          <t>W</t>
        </is>
      </c>
      <c r="F37" s="8" t="inlineStr">
        <is>
          <t>D</t>
        </is>
      </c>
      <c r="G37" s="8" t="inlineStr">
        <is>
          <t>L</t>
        </is>
      </c>
      <c r="H37" s="8" t="inlineStr">
        <is>
          <t>GF</t>
        </is>
      </c>
      <c r="I37" s="8" t="inlineStr">
        <is>
          <t>GA</t>
        </is>
      </c>
      <c r="J37" s="8" t="inlineStr">
        <is>
          <t>GD</t>
        </is>
      </c>
      <c r="K37" s="8" t="inlineStr">
        <is>
          <t>Pts</t>
        </is>
      </c>
      <c r="L37" s="4" t="n"/>
      <c r="M37" s="4" t="n"/>
      <c r="N37" s="4" t="n"/>
    </row>
    <row r="38">
      <c r="A38" s="9">
        <f>IF($N38="","",1)</f>
        <v/>
      </c>
      <c r="B38" s="10">
        <f>IF($N38="","",INDEX(Stats!$A$2:$A$26,$N38))</f>
        <v/>
      </c>
      <c r="C38" s="9">
        <f>IF($N38="","",INDEX(Stats!$B$2:$B$26,$N38))</f>
        <v/>
      </c>
      <c r="D38" s="9">
        <f>IF($N38="","",INDEX(Stats!$M$2:$M$26,$N38))</f>
        <v/>
      </c>
      <c r="E38" s="9">
        <f>IF($N38="","",INDEX(Stats!$N$2:$N$26,$N38))</f>
        <v/>
      </c>
      <c r="F38" s="9">
        <f>IF($N38="","",INDEX(Stats!$O$2:$O$26,$N38))</f>
        <v/>
      </c>
      <c r="G38" s="9">
        <f>IF($N38="","",INDEX(Stats!$P$2:$P$26,$N38))</f>
        <v/>
      </c>
      <c r="H38" s="9">
        <f>IF($N38="","",INDEX(Stats!$Q$2:$Q$26,$N38))</f>
        <v/>
      </c>
      <c r="I38" s="9">
        <f>IF($N38="","",INDEX(Stats!$R$2:$R$26,$N38))</f>
        <v/>
      </c>
      <c r="J38" s="9">
        <f>IF($N38="","",INDEX(Stats!$S$2:$S$26,$N38))</f>
        <v/>
      </c>
      <c r="K38" s="9">
        <f>IF($N38="","",INDEX(Stats!$T$2:$T$26,$N38))</f>
        <v/>
      </c>
      <c r="L38" s="4" t="n"/>
      <c r="M38" s="4">
        <f>IFERROR(LARGE(Stats!$V$2:$V$26,COUNTIF(Stats!$V$2:$V$26,"&gt;="&amp;5*1000000000)+1),-1)</f>
        <v/>
      </c>
      <c r="N38" s="4">
        <f>IF($M38&gt;=4*1000000000,MATCH($M38,Stats!$V$2:$V$26,0),"")</f>
        <v/>
      </c>
    </row>
    <row r="39">
      <c r="A39" s="9">
        <f>IF($N39="","",2)</f>
        <v/>
      </c>
      <c r="B39" s="10">
        <f>IF($N39="","",INDEX(Stats!$A$2:$A$26,$N39))</f>
        <v/>
      </c>
      <c r="C39" s="9">
        <f>IF($N39="","",INDEX(Stats!$B$2:$B$26,$N39))</f>
        <v/>
      </c>
      <c r="D39" s="9">
        <f>IF($N39="","",INDEX(Stats!$M$2:$M$26,$N39))</f>
        <v/>
      </c>
      <c r="E39" s="9">
        <f>IF($N39="","",INDEX(Stats!$N$2:$N$26,$N39))</f>
        <v/>
      </c>
      <c r="F39" s="9">
        <f>IF($N39="","",INDEX(Stats!$O$2:$O$26,$N39))</f>
        <v/>
      </c>
      <c r="G39" s="9">
        <f>IF($N39="","",INDEX(Stats!$P$2:$P$26,$N39))</f>
        <v/>
      </c>
      <c r="H39" s="9">
        <f>IF($N39="","",INDEX(Stats!$Q$2:$Q$26,$N39))</f>
        <v/>
      </c>
      <c r="I39" s="9">
        <f>IF($N39="","",INDEX(Stats!$R$2:$R$26,$N39))</f>
        <v/>
      </c>
      <c r="J39" s="9">
        <f>IF($N39="","",INDEX(Stats!$S$2:$S$26,$N39))</f>
        <v/>
      </c>
      <c r="K39" s="9">
        <f>IF($N39="","",INDEX(Stats!$T$2:$T$26,$N39))</f>
        <v/>
      </c>
      <c r="L39" s="4" t="n"/>
      <c r="M39" s="4">
        <f>IFERROR(LARGE(Stats!$V$2:$V$26,COUNTIF(Stats!$V$2:$V$26,"&gt;="&amp;5*1000000000)+2),-1)</f>
        <v/>
      </c>
      <c r="N39" s="4">
        <f>IF($M39&gt;=4*1000000000,MATCH($M39,Stats!$V$2:$V$26,0),"")</f>
        <v/>
      </c>
    </row>
    <row r="40">
      <c r="A40" s="9">
        <f>IF($N40="","",3)</f>
        <v/>
      </c>
      <c r="B40" s="10">
        <f>IF($N40="","",INDEX(Stats!$A$2:$A$26,$N40))</f>
        <v/>
      </c>
      <c r="C40" s="9">
        <f>IF($N40="","",INDEX(Stats!$B$2:$B$26,$N40))</f>
        <v/>
      </c>
      <c r="D40" s="9">
        <f>IF($N40="","",INDEX(Stats!$M$2:$M$26,$N40))</f>
        <v/>
      </c>
      <c r="E40" s="9">
        <f>IF($N40="","",INDEX(Stats!$N$2:$N$26,$N40))</f>
        <v/>
      </c>
      <c r="F40" s="9">
        <f>IF($N40="","",INDEX(Stats!$O$2:$O$26,$N40))</f>
        <v/>
      </c>
      <c r="G40" s="9">
        <f>IF($N40="","",INDEX(Stats!$P$2:$P$26,$N40))</f>
        <v/>
      </c>
      <c r="H40" s="9">
        <f>IF($N40="","",INDEX(Stats!$Q$2:$Q$26,$N40))</f>
        <v/>
      </c>
      <c r="I40" s="9">
        <f>IF($N40="","",INDEX(Stats!$R$2:$R$26,$N40))</f>
        <v/>
      </c>
      <c r="J40" s="9">
        <f>IF($N40="","",INDEX(Stats!$S$2:$S$26,$N40))</f>
        <v/>
      </c>
      <c r="K40" s="9">
        <f>IF($N40="","",INDEX(Stats!$T$2:$T$26,$N40))</f>
        <v/>
      </c>
      <c r="L40" s="4" t="n"/>
      <c r="M40" s="4">
        <f>IFERROR(LARGE(Stats!$V$2:$V$26,COUNTIF(Stats!$V$2:$V$26,"&gt;="&amp;5*1000000000)+3),-1)</f>
        <v/>
      </c>
      <c r="N40" s="4">
        <f>IF($M40&gt;=4*1000000000,MATCH($M40,Stats!$V$2:$V$26,0),"")</f>
        <v/>
      </c>
    </row>
    <row r="41">
      <c r="A41" s="9">
        <f>IF($N41="","",4)</f>
        <v/>
      </c>
      <c r="B41" s="10">
        <f>IF($N41="","",INDEX(Stats!$A$2:$A$26,$N41))</f>
        <v/>
      </c>
      <c r="C41" s="9">
        <f>IF($N41="","",INDEX(Stats!$B$2:$B$26,$N41))</f>
        <v/>
      </c>
      <c r="D41" s="9">
        <f>IF($N41="","",INDEX(Stats!$M$2:$M$26,$N41))</f>
        <v/>
      </c>
      <c r="E41" s="9">
        <f>IF($N41="","",INDEX(Stats!$N$2:$N$26,$N41))</f>
        <v/>
      </c>
      <c r="F41" s="9">
        <f>IF($N41="","",INDEX(Stats!$O$2:$O$26,$N41))</f>
        <v/>
      </c>
      <c r="G41" s="9">
        <f>IF($N41="","",INDEX(Stats!$P$2:$P$26,$N41))</f>
        <v/>
      </c>
      <c r="H41" s="9">
        <f>IF($N41="","",INDEX(Stats!$Q$2:$Q$26,$N41))</f>
        <v/>
      </c>
      <c r="I41" s="9">
        <f>IF($N41="","",INDEX(Stats!$R$2:$R$26,$N41))</f>
        <v/>
      </c>
      <c r="J41" s="9">
        <f>IF($N41="","",INDEX(Stats!$S$2:$S$26,$N41))</f>
        <v/>
      </c>
      <c r="K41" s="9">
        <f>IF($N41="","",INDEX(Stats!$T$2:$T$26,$N41))</f>
        <v/>
      </c>
      <c r="L41" s="4" t="n"/>
      <c r="M41" s="4">
        <f>IFERROR(LARGE(Stats!$V$2:$V$26,COUNTIF(Stats!$V$2:$V$26,"&gt;="&amp;5*1000000000)+4),-1)</f>
        <v/>
      </c>
      <c r="N41" s="4">
        <f>IF($M41&gt;=4*1000000000,MATCH($M41,Stats!$V$2:$V$26,0),"")</f>
        <v/>
      </c>
    </row>
    <row r="42">
      <c r="A42" s="9">
        <f>IF($N42="","",5)</f>
        <v/>
      </c>
      <c r="B42" s="10">
        <f>IF($N42="","",INDEX(Stats!$A$2:$A$26,$N42))</f>
        <v/>
      </c>
      <c r="C42" s="9">
        <f>IF($N42="","",INDEX(Stats!$B$2:$B$26,$N42))</f>
        <v/>
      </c>
      <c r="D42" s="9">
        <f>IF($N42="","",INDEX(Stats!$M$2:$M$26,$N42))</f>
        <v/>
      </c>
      <c r="E42" s="9">
        <f>IF($N42="","",INDEX(Stats!$N$2:$N$26,$N42))</f>
        <v/>
      </c>
      <c r="F42" s="9">
        <f>IF($N42="","",INDEX(Stats!$O$2:$O$26,$N42))</f>
        <v/>
      </c>
      <c r="G42" s="9">
        <f>IF($N42="","",INDEX(Stats!$P$2:$P$26,$N42))</f>
        <v/>
      </c>
      <c r="H42" s="9">
        <f>IF($N42="","",INDEX(Stats!$Q$2:$Q$26,$N42))</f>
        <v/>
      </c>
      <c r="I42" s="9">
        <f>IF($N42="","",INDEX(Stats!$R$2:$R$26,$N42))</f>
        <v/>
      </c>
      <c r="J42" s="9">
        <f>IF($N42="","",INDEX(Stats!$S$2:$S$26,$N42))</f>
        <v/>
      </c>
      <c r="K42" s="9">
        <f>IF($N42="","",INDEX(Stats!$T$2:$T$26,$N42))</f>
        <v/>
      </c>
      <c r="L42" s="4" t="n"/>
      <c r="M42" s="4">
        <f>IFERROR(LARGE(Stats!$V$2:$V$26,COUNTIF(Stats!$V$2:$V$26,"&gt;="&amp;5*1000000000)+5),-1)</f>
        <v/>
      </c>
      <c r="N42" s="4">
        <f>IF($M42&gt;=4*1000000000,MATCH($M42,Stats!$V$2:$V$26,0),"")</f>
        <v/>
      </c>
    </row>
    <row r="43">
      <c r="A43" s="9">
        <f>IF($N43="","",6)</f>
        <v/>
      </c>
      <c r="B43" s="10">
        <f>IF($N43="","",INDEX(Stats!$A$2:$A$26,$N43))</f>
        <v/>
      </c>
      <c r="C43" s="9">
        <f>IF($N43="","",INDEX(Stats!$B$2:$B$26,$N43))</f>
        <v/>
      </c>
      <c r="D43" s="9">
        <f>IF($N43="","",INDEX(Stats!$M$2:$M$26,$N43))</f>
        <v/>
      </c>
      <c r="E43" s="9">
        <f>IF($N43="","",INDEX(Stats!$N$2:$N$26,$N43))</f>
        <v/>
      </c>
      <c r="F43" s="9">
        <f>IF($N43="","",INDEX(Stats!$O$2:$O$26,$N43))</f>
        <v/>
      </c>
      <c r="G43" s="9">
        <f>IF($N43="","",INDEX(Stats!$P$2:$P$26,$N43))</f>
        <v/>
      </c>
      <c r="H43" s="9">
        <f>IF($N43="","",INDEX(Stats!$Q$2:$Q$26,$N43))</f>
        <v/>
      </c>
      <c r="I43" s="9">
        <f>IF($N43="","",INDEX(Stats!$R$2:$R$26,$N43))</f>
        <v/>
      </c>
      <c r="J43" s="9">
        <f>IF($N43="","",INDEX(Stats!$S$2:$S$26,$N43))</f>
        <v/>
      </c>
      <c r="K43" s="9">
        <f>IF($N43="","",INDEX(Stats!$T$2:$T$26,$N43))</f>
        <v/>
      </c>
      <c r="L43" s="4" t="n"/>
      <c r="M43" s="4">
        <f>IFERROR(LARGE(Stats!$V$2:$V$26,COUNTIF(Stats!$V$2:$V$26,"&gt;="&amp;5*1000000000)+6),-1)</f>
        <v/>
      </c>
      <c r="N43" s="4">
        <f>IF($M43&gt;=4*1000000000,MATCH($M43,Stats!$V$2:$V$26,0),"")</f>
        <v/>
      </c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5" t="inlineStr">
        <is>
          <t>FIFA overall (group and knockout matches)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4" t="n"/>
      <c r="M45" s="4" t="n"/>
      <c r="N45" s="4" t="n"/>
    </row>
    <row r="46">
      <c r="A46" s="8" t="inlineStr">
        <is>
          <t>Rank</t>
        </is>
      </c>
      <c r="B46" s="8" t="inlineStr">
        <is>
          <t>Player</t>
        </is>
      </c>
      <c r="C46" s="8" t="inlineStr">
        <is>
          <t>Group</t>
        </is>
      </c>
      <c r="D46" s="8" t="inlineStr">
        <is>
          <t>P</t>
        </is>
      </c>
      <c r="E46" s="8" t="inlineStr">
        <is>
          <t>W</t>
        </is>
      </c>
      <c r="F46" s="8" t="inlineStr">
        <is>
          <t>D</t>
        </is>
      </c>
      <c r="G46" s="8" t="inlineStr">
        <is>
          <t>L</t>
        </is>
      </c>
      <c r="H46" s="8" t="inlineStr">
        <is>
          <t>GF</t>
        </is>
      </c>
      <c r="I46" s="8" t="inlineStr">
        <is>
          <t>GA</t>
        </is>
      </c>
      <c r="J46" s="8" t="inlineStr">
        <is>
          <t>GD</t>
        </is>
      </c>
      <c r="K46" s="8" t="inlineStr">
        <is>
          <t>Pts</t>
        </is>
      </c>
      <c r="L46" s="4" t="n"/>
      <c r="M46" s="4" t="n"/>
      <c r="N46" s="4" t="n"/>
    </row>
    <row r="47">
      <c r="A47" s="9">
        <f>IF($N47="","",1)</f>
        <v/>
      </c>
      <c r="B47" s="10">
        <f>IF($N47="","",INDEX(Stats!$A$2:$A$26,$N47))</f>
        <v/>
      </c>
      <c r="C47" s="9">
        <f>IF($N47="","",INDEX(Stats!$B$2:$B$26,$N47))</f>
        <v/>
      </c>
      <c r="D47" s="9">
        <f>IF($N47="","",INDEX(Stats!$D$2:$D$26,$N47))</f>
        <v/>
      </c>
      <c r="E47" s="9">
        <f>IF($N47="","",INDEX(Stats!$E$2:$E$26,$N47))</f>
        <v/>
      </c>
      <c r="F47" s="9">
        <f>IF($N47="","",INDEX(Stats!$F$2:$F$26,$N47))</f>
        <v/>
      </c>
      <c r="G47" s="9">
        <f>IF($N47="","",INDEX(Stats!$G$2:$G$26,$N47))</f>
        <v/>
      </c>
      <c r="H47" s="9">
        <f>IF($N47="","",INDEX(Stats!$H$2:$H$26,$N47))</f>
        <v/>
      </c>
      <c r="I47" s="9">
        <f>IF($N47="","",INDEX(Stats!$I$2:$I$26,$N47))</f>
        <v/>
      </c>
      <c r="J47" s="9">
        <f>IF($N47="","",INDEX(Stats!$J$2:$J$26,$N47))</f>
        <v/>
      </c>
      <c r="K47" s="9">
        <f>IF($N47="","",INDEX(Stats!$K$2:$K$26,$N47))</f>
        <v/>
      </c>
      <c r="L47" s="4" t="n"/>
      <c r="M47" s="4">
        <f>IFERROR(LARGE(Stats!$L$2:$L$26,1),-1)</f>
        <v/>
      </c>
      <c r="N47" s="4">
        <f>IF($M47&gt;=0,MATCH($M47,Stats!$L$2:$L$26,0),"")</f>
        <v/>
      </c>
    </row>
    <row r="48">
      <c r="A48" s="9">
        <f>IF($N48="","",2)</f>
        <v/>
      </c>
      <c r="B48" s="10">
        <f>IF($N48="","",INDEX(Stats!$A$2:$A$26,$N48))</f>
        <v/>
      </c>
      <c r="C48" s="9">
        <f>IF($N48="","",INDEX(Stats!$B$2:$B$26,$N48))</f>
        <v/>
      </c>
      <c r="D48" s="9">
        <f>IF($N48="","",INDEX(Stats!$D$2:$D$26,$N48))</f>
        <v/>
      </c>
      <c r="E48" s="9">
        <f>IF($N48="","",INDEX(Stats!$E$2:$E$26,$N48))</f>
        <v/>
      </c>
      <c r="F48" s="9">
        <f>IF($N48="","",INDEX(Stats!$F$2:$F$26,$N48))</f>
        <v/>
      </c>
      <c r="G48" s="9">
        <f>IF($N48="","",INDEX(Stats!$G$2:$G$26,$N48))</f>
        <v/>
      </c>
      <c r="H48" s="9">
        <f>IF($N48="","",INDEX(Stats!$H$2:$H$26,$N48))</f>
        <v/>
      </c>
      <c r="I48" s="9">
        <f>IF($N48="","",INDEX(Stats!$I$2:$I$26,$N48))</f>
        <v/>
      </c>
      <c r="J48" s="9">
        <f>IF($N48="","",INDEX(Stats!$J$2:$J$26,$N48))</f>
        <v/>
      </c>
      <c r="K48" s="9">
        <f>IF($N48="","",INDEX(Stats!$K$2:$K$26,$N48))</f>
        <v/>
      </c>
      <c r="L48" s="4" t="n"/>
      <c r="M48" s="4">
        <f>IFERROR(LARGE(Stats!$L$2:$L$26,2),-1)</f>
        <v/>
      </c>
      <c r="N48" s="4">
        <f>IF($M48&gt;=0,MATCH($M48,Stats!$L$2:$L$26,0),"")</f>
        <v/>
      </c>
    </row>
    <row r="49">
      <c r="A49" s="9">
        <f>IF($N49="","",3)</f>
        <v/>
      </c>
      <c r="B49" s="10">
        <f>IF($N49="","",INDEX(Stats!$A$2:$A$26,$N49))</f>
        <v/>
      </c>
      <c r="C49" s="9">
        <f>IF($N49="","",INDEX(Stats!$B$2:$B$26,$N49))</f>
        <v/>
      </c>
      <c r="D49" s="9">
        <f>IF($N49="","",INDEX(Stats!$D$2:$D$26,$N49))</f>
        <v/>
      </c>
      <c r="E49" s="9">
        <f>IF($N49="","",INDEX(Stats!$E$2:$E$26,$N49))</f>
        <v/>
      </c>
      <c r="F49" s="9">
        <f>IF($N49="","",INDEX(Stats!$F$2:$F$26,$N49))</f>
        <v/>
      </c>
      <c r="G49" s="9">
        <f>IF($N49="","",INDEX(Stats!$G$2:$G$26,$N49))</f>
        <v/>
      </c>
      <c r="H49" s="9">
        <f>IF($N49="","",INDEX(Stats!$H$2:$H$26,$N49))</f>
        <v/>
      </c>
      <c r="I49" s="9">
        <f>IF($N49="","",INDEX(Stats!$I$2:$I$26,$N49))</f>
        <v/>
      </c>
      <c r="J49" s="9">
        <f>IF($N49="","",INDEX(Stats!$J$2:$J$26,$N49))</f>
        <v/>
      </c>
      <c r="K49" s="9">
        <f>IF($N49="","",INDEX(Stats!$K$2:$K$26,$N49))</f>
        <v/>
      </c>
      <c r="L49" s="4" t="n"/>
      <c r="M49" s="4">
        <f>IFERROR(LARGE(Stats!$L$2:$L$26,3),-1)</f>
        <v/>
      </c>
      <c r="N49" s="4">
        <f>IF($M49&gt;=0,MATCH($M49,Stats!$L$2:$L$26,0),"")</f>
        <v/>
      </c>
    </row>
    <row r="50">
      <c r="A50" s="9">
        <f>IF($N50="","",4)</f>
        <v/>
      </c>
      <c r="B50" s="10">
        <f>IF($N50="","",INDEX(Stats!$A$2:$A$26,$N50))</f>
        <v/>
      </c>
      <c r="C50" s="9">
        <f>IF($N50="","",INDEX(Stats!$B$2:$B$26,$N50))</f>
        <v/>
      </c>
      <c r="D50" s="9">
        <f>IF($N50="","",INDEX(Stats!$D$2:$D$26,$N50))</f>
        <v/>
      </c>
      <c r="E50" s="9">
        <f>IF($N50="","",INDEX(Stats!$E$2:$E$26,$N50))</f>
        <v/>
      </c>
      <c r="F50" s="9">
        <f>IF($N50="","",INDEX(Stats!$F$2:$F$26,$N50))</f>
        <v/>
      </c>
      <c r="G50" s="9">
        <f>IF($N50="","",INDEX(Stats!$G$2:$G$26,$N50))</f>
        <v/>
      </c>
      <c r="H50" s="9">
        <f>IF($N50="","",INDEX(Stats!$H$2:$H$26,$N50))</f>
        <v/>
      </c>
      <c r="I50" s="9">
        <f>IF($N50="","",INDEX(Stats!$I$2:$I$26,$N50))</f>
        <v/>
      </c>
      <c r="J50" s="9">
        <f>IF($N50="","",INDEX(Stats!$J$2:$J$26,$N50))</f>
        <v/>
      </c>
      <c r="K50" s="9">
        <f>IF($N50="","",INDEX(Stats!$K$2:$K$26,$N50))</f>
        <v/>
      </c>
      <c r="L50" s="4" t="n"/>
      <c r="M50" s="4">
        <f>IFERROR(LARGE(Stats!$L$2:$L$26,4),-1)</f>
        <v/>
      </c>
      <c r="N50" s="4">
        <f>IF($M50&gt;=0,MATCH($M50,Stats!$L$2:$L$26,0),"")</f>
        <v/>
      </c>
    </row>
    <row r="51">
      <c r="A51" s="9">
        <f>IF($N51="","",5)</f>
        <v/>
      </c>
      <c r="B51" s="10">
        <f>IF($N51="","",INDEX(Stats!$A$2:$A$26,$N51))</f>
        <v/>
      </c>
      <c r="C51" s="9">
        <f>IF($N51="","",INDEX(Stats!$B$2:$B$26,$N51))</f>
        <v/>
      </c>
      <c r="D51" s="9">
        <f>IF($N51="","",INDEX(Stats!$D$2:$D$26,$N51))</f>
        <v/>
      </c>
      <c r="E51" s="9">
        <f>IF($N51="","",INDEX(Stats!$E$2:$E$26,$N51))</f>
        <v/>
      </c>
      <c r="F51" s="9">
        <f>IF($N51="","",INDEX(Stats!$F$2:$F$26,$N51))</f>
        <v/>
      </c>
      <c r="G51" s="9">
        <f>IF($N51="","",INDEX(Stats!$G$2:$G$26,$N51))</f>
        <v/>
      </c>
      <c r="H51" s="9">
        <f>IF($N51="","",INDEX(Stats!$H$2:$H$26,$N51))</f>
        <v/>
      </c>
      <c r="I51" s="9">
        <f>IF($N51="","",INDEX(Stats!$I$2:$I$26,$N51))</f>
        <v/>
      </c>
      <c r="J51" s="9">
        <f>IF($N51="","",INDEX(Stats!$J$2:$J$26,$N51))</f>
        <v/>
      </c>
      <c r="K51" s="9">
        <f>IF($N51="","",INDEX(Stats!$K$2:$K$26,$N51))</f>
        <v/>
      </c>
      <c r="L51" s="4" t="n"/>
      <c r="M51" s="4">
        <f>IFERROR(LARGE(Stats!$L$2:$L$26,5),-1)</f>
        <v/>
      </c>
      <c r="N51" s="4">
        <f>IF($M51&gt;=0,MATCH($M51,Stats!$L$2:$L$26,0),"")</f>
        <v/>
      </c>
    </row>
    <row r="52">
      <c r="A52" s="9">
        <f>IF($N52="","",6)</f>
        <v/>
      </c>
      <c r="B52" s="10">
        <f>IF($N52="","",INDEX(Stats!$A$2:$A$26,$N52))</f>
        <v/>
      </c>
      <c r="C52" s="9">
        <f>IF($N52="","",INDEX(Stats!$B$2:$B$26,$N52))</f>
        <v/>
      </c>
      <c r="D52" s="9">
        <f>IF($N52="","",INDEX(Stats!$D$2:$D$26,$N52))</f>
        <v/>
      </c>
      <c r="E52" s="9">
        <f>IF($N52="","",INDEX(Stats!$E$2:$E$26,$N52))</f>
        <v/>
      </c>
      <c r="F52" s="9">
        <f>IF($N52="","",INDEX(Stats!$F$2:$F$26,$N52))</f>
        <v/>
      </c>
      <c r="G52" s="9">
        <f>IF($N52="","",INDEX(Stats!$G$2:$G$26,$N52))</f>
        <v/>
      </c>
      <c r="H52" s="9">
        <f>IF($N52="","",INDEX(Stats!$H$2:$H$26,$N52))</f>
        <v/>
      </c>
      <c r="I52" s="9">
        <f>IF($N52="","",INDEX(Stats!$I$2:$I$26,$N52))</f>
        <v/>
      </c>
      <c r="J52" s="9">
        <f>IF($N52="","",INDEX(Stats!$J$2:$J$26,$N52))</f>
        <v/>
      </c>
      <c r="K52" s="9">
        <f>IF($N52="","",INDEX(Stats!$K$2:$K$26,$N52))</f>
        <v/>
      </c>
      <c r="L52" s="4" t="n"/>
      <c r="M52" s="4">
        <f>IFERROR(LARGE(Stats!$L$2:$L$26,6),-1)</f>
        <v/>
      </c>
      <c r="N52" s="4">
        <f>IF($M52&gt;=0,MATCH($M52,Stats!$L$2:$L$26,0),"")</f>
        <v/>
      </c>
    </row>
    <row r="53">
      <c r="A53" s="9">
        <f>IF($N53="","",7)</f>
        <v/>
      </c>
      <c r="B53" s="10">
        <f>IF($N53="","",INDEX(Stats!$A$2:$A$26,$N53))</f>
        <v/>
      </c>
      <c r="C53" s="9">
        <f>IF($N53="","",INDEX(Stats!$B$2:$B$26,$N53))</f>
        <v/>
      </c>
      <c r="D53" s="9">
        <f>IF($N53="","",INDEX(Stats!$D$2:$D$26,$N53))</f>
        <v/>
      </c>
      <c r="E53" s="9">
        <f>IF($N53="","",INDEX(Stats!$E$2:$E$26,$N53))</f>
        <v/>
      </c>
      <c r="F53" s="9">
        <f>IF($N53="","",INDEX(Stats!$F$2:$F$26,$N53))</f>
        <v/>
      </c>
      <c r="G53" s="9">
        <f>IF($N53="","",INDEX(Stats!$G$2:$G$26,$N53))</f>
        <v/>
      </c>
      <c r="H53" s="9">
        <f>IF($N53="","",INDEX(Stats!$H$2:$H$26,$N53))</f>
        <v/>
      </c>
      <c r="I53" s="9">
        <f>IF($N53="","",INDEX(Stats!$I$2:$I$26,$N53))</f>
        <v/>
      </c>
      <c r="J53" s="9">
        <f>IF($N53="","",INDEX(Stats!$J$2:$J$26,$N53))</f>
        <v/>
      </c>
      <c r="K53" s="9">
        <f>IF($N53="","",INDEX(Stats!$K$2:$K$26,$N53))</f>
        <v/>
      </c>
      <c r="L53" s="4" t="n"/>
      <c r="M53" s="4">
        <f>IFERROR(LARGE(Stats!$L$2:$L$26,7),-1)</f>
        <v/>
      </c>
      <c r="N53" s="4">
        <f>IF($M53&gt;=0,MATCH($M53,Stats!$L$2:$L$26,0),"")</f>
        <v/>
      </c>
    </row>
    <row r="54">
      <c r="A54" s="9">
        <f>IF($N54="","",8)</f>
        <v/>
      </c>
      <c r="B54" s="10">
        <f>IF($N54="","",INDEX(Stats!$A$2:$A$26,$N54))</f>
        <v/>
      </c>
      <c r="C54" s="9">
        <f>IF($N54="","",INDEX(Stats!$B$2:$B$26,$N54))</f>
        <v/>
      </c>
      <c r="D54" s="9">
        <f>IF($N54="","",INDEX(Stats!$D$2:$D$26,$N54))</f>
        <v/>
      </c>
      <c r="E54" s="9">
        <f>IF($N54="","",INDEX(Stats!$E$2:$E$26,$N54))</f>
        <v/>
      </c>
      <c r="F54" s="9">
        <f>IF($N54="","",INDEX(Stats!$F$2:$F$26,$N54))</f>
        <v/>
      </c>
      <c r="G54" s="9">
        <f>IF($N54="","",INDEX(Stats!$G$2:$G$26,$N54))</f>
        <v/>
      </c>
      <c r="H54" s="9">
        <f>IF($N54="","",INDEX(Stats!$H$2:$H$26,$N54))</f>
        <v/>
      </c>
      <c r="I54" s="9">
        <f>IF($N54="","",INDEX(Stats!$I$2:$I$26,$N54))</f>
        <v/>
      </c>
      <c r="J54" s="9">
        <f>IF($N54="","",INDEX(Stats!$J$2:$J$26,$N54))</f>
        <v/>
      </c>
      <c r="K54" s="9">
        <f>IF($N54="","",INDEX(Stats!$K$2:$K$26,$N54))</f>
        <v/>
      </c>
      <c r="L54" s="4" t="n"/>
      <c r="M54" s="4">
        <f>IFERROR(LARGE(Stats!$L$2:$L$26,8),-1)</f>
        <v/>
      </c>
      <c r="N54" s="4">
        <f>IF($M54&gt;=0,MATCH($M54,Stats!$L$2:$L$26,0),"")</f>
        <v/>
      </c>
    </row>
    <row r="55">
      <c r="A55" s="9">
        <f>IF($N55="","",9)</f>
        <v/>
      </c>
      <c r="B55" s="10">
        <f>IF($N55="","",INDEX(Stats!$A$2:$A$26,$N55))</f>
        <v/>
      </c>
      <c r="C55" s="9">
        <f>IF($N55="","",INDEX(Stats!$B$2:$B$26,$N55))</f>
        <v/>
      </c>
      <c r="D55" s="9">
        <f>IF($N55="","",INDEX(Stats!$D$2:$D$26,$N55))</f>
        <v/>
      </c>
      <c r="E55" s="9">
        <f>IF($N55="","",INDEX(Stats!$E$2:$E$26,$N55))</f>
        <v/>
      </c>
      <c r="F55" s="9">
        <f>IF($N55="","",INDEX(Stats!$F$2:$F$26,$N55))</f>
        <v/>
      </c>
      <c r="G55" s="9">
        <f>IF($N55="","",INDEX(Stats!$G$2:$G$26,$N55))</f>
        <v/>
      </c>
      <c r="H55" s="9">
        <f>IF($N55="","",INDEX(Stats!$H$2:$H$26,$N55))</f>
        <v/>
      </c>
      <c r="I55" s="9">
        <f>IF($N55="","",INDEX(Stats!$I$2:$I$26,$N55))</f>
        <v/>
      </c>
      <c r="J55" s="9">
        <f>IF($N55="","",INDEX(Stats!$J$2:$J$26,$N55))</f>
        <v/>
      </c>
      <c r="K55" s="9">
        <f>IF($N55="","",INDEX(Stats!$K$2:$K$26,$N55))</f>
        <v/>
      </c>
      <c r="L55" s="4" t="n"/>
      <c r="M55" s="4">
        <f>IFERROR(LARGE(Stats!$L$2:$L$26,9),-1)</f>
        <v/>
      </c>
      <c r="N55" s="4">
        <f>IF($M55&gt;=0,MATCH($M55,Stats!$L$2:$L$26,0),"")</f>
        <v/>
      </c>
    </row>
    <row r="56">
      <c r="A56" s="9">
        <f>IF($N56="","",10)</f>
        <v/>
      </c>
      <c r="B56" s="10">
        <f>IF($N56="","",INDEX(Stats!$A$2:$A$26,$N56))</f>
        <v/>
      </c>
      <c r="C56" s="9">
        <f>IF($N56="","",INDEX(Stats!$B$2:$B$26,$N56))</f>
        <v/>
      </c>
      <c r="D56" s="9">
        <f>IF($N56="","",INDEX(Stats!$D$2:$D$26,$N56))</f>
        <v/>
      </c>
      <c r="E56" s="9">
        <f>IF($N56="","",INDEX(Stats!$E$2:$E$26,$N56))</f>
        <v/>
      </c>
      <c r="F56" s="9">
        <f>IF($N56="","",INDEX(Stats!$F$2:$F$26,$N56))</f>
        <v/>
      </c>
      <c r="G56" s="9">
        <f>IF($N56="","",INDEX(Stats!$G$2:$G$26,$N56))</f>
        <v/>
      </c>
      <c r="H56" s="9">
        <f>IF($N56="","",INDEX(Stats!$H$2:$H$26,$N56))</f>
        <v/>
      </c>
      <c r="I56" s="9">
        <f>IF($N56="","",INDEX(Stats!$I$2:$I$26,$N56))</f>
        <v/>
      </c>
      <c r="J56" s="9">
        <f>IF($N56="","",INDEX(Stats!$J$2:$J$26,$N56))</f>
        <v/>
      </c>
      <c r="K56" s="9">
        <f>IF($N56="","",INDEX(Stats!$K$2:$K$26,$N56))</f>
        <v/>
      </c>
      <c r="L56" s="4" t="n"/>
      <c r="M56" s="4">
        <f>IFERROR(LARGE(Stats!$L$2:$L$26,10),-1)</f>
        <v/>
      </c>
      <c r="N56" s="4">
        <f>IF($M56&gt;=0,MATCH($M56,Stats!$L$2:$L$26,0),"")</f>
        <v/>
      </c>
    </row>
    <row r="57">
      <c r="A57" s="9">
        <f>IF($N57="","",11)</f>
        <v/>
      </c>
      <c r="B57" s="10">
        <f>IF($N57="","",INDEX(Stats!$A$2:$A$26,$N57))</f>
        <v/>
      </c>
      <c r="C57" s="9">
        <f>IF($N57="","",INDEX(Stats!$B$2:$B$26,$N57))</f>
        <v/>
      </c>
      <c r="D57" s="9">
        <f>IF($N57="","",INDEX(Stats!$D$2:$D$26,$N57))</f>
        <v/>
      </c>
      <c r="E57" s="9">
        <f>IF($N57="","",INDEX(Stats!$E$2:$E$26,$N57))</f>
        <v/>
      </c>
      <c r="F57" s="9">
        <f>IF($N57="","",INDEX(Stats!$F$2:$F$26,$N57))</f>
        <v/>
      </c>
      <c r="G57" s="9">
        <f>IF($N57="","",INDEX(Stats!$G$2:$G$26,$N57))</f>
        <v/>
      </c>
      <c r="H57" s="9">
        <f>IF($N57="","",INDEX(Stats!$H$2:$H$26,$N57))</f>
        <v/>
      </c>
      <c r="I57" s="9">
        <f>IF($N57="","",INDEX(Stats!$I$2:$I$26,$N57))</f>
        <v/>
      </c>
      <c r="J57" s="9">
        <f>IF($N57="","",INDEX(Stats!$J$2:$J$26,$N57))</f>
        <v/>
      </c>
      <c r="K57" s="9">
        <f>IF($N57="","",INDEX(Stats!$K$2:$K$26,$N57))</f>
        <v/>
      </c>
      <c r="L57" s="4" t="n"/>
      <c r="M57" s="4">
        <f>IFERROR(LARGE(Stats!$L$2:$L$26,11),-1)</f>
        <v/>
      </c>
      <c r="N57" s="4">
        <f>IF($M57&gt;=0,MATCH($M57,Stats!$L$2:$L$26,0),"")</f>
        <v/>
      </c>
    </row>
    <row r="58">
      <c r="A58" s="9">
        <f>IF($N58="","",12)</f>
        <v/>
      </c>
      <c r="B58" s="10">
        <f>IF($N58="","",INDEX(Stats!$A$2:$A$26,$N58))</f>
        <v/>
      </c>
      <c r="C58" s="9">
        <f>IF($N58="","",INDEX(Stats!$B$2:$B$26,$N58))</f>
        <v/>
      </c>
      <c r="D58" s="9">
        <f>IF($N58="","",INDEX(Stats!$D$2:$D$26,$N58))</f>
        <v/>
      </c>
      <c r="E58" s="9">
        <f>IF($N58="","",INDEX(Stats!$E$2:$E$26,$N58))</f>
        <v/>
      </c>
      <c r="F58" s="9">
        <f>IF($N58="","",INDEX(Stats!$F$2:$F$26,$N58))</f>
        <v/>
      </c>
      <c r="G58" s="9">
        <f>IF($N58="","",INDEX(Stats!$G$2:$G$26,$N58))</f>
        <v/>
      </c>
      <c r="H58" s="9">
        <f>IF($N58="","",INDEX(Stats!$H$2:$H$26,$N58))</f>
        <v/>
      </c>
      <c r="I58" s="9">
        <f>IF($N58="","",INDEX(Stats!$I$2:$I$26,$N58))</f>
        <v/>
      </c>
      <c r="J58" s="9">
        <f>IF($N58="","",INDEX(Stats!$J$2:$J$26,$N58))</f>
        <v/>
      </c>
      <c r="K58" s="9">
        <f>IF($N58="","",INDEX(Stats!$K$2:$K$26,$N58))</f>
        <v/>
      </c>
      <c r="L58" s="4" t="n"/>
      <c r="M58" s="4">
        <f>IFERROR(LARGE(Stats!$L$2:$L$26,12),-1)</f>
        <v/>
      </c>
      <c r="N58" s="4">
        <f>IF($M58&gt;=0,MATCH($M58,Stats!$L$2:$L$26,0),"")</f>
        <v/>
      </c>
    </row>
    <row r="59">
      <c r="A59" s="9">
        <f>IF($N59="","",13)</f>
        <v/>
      </c>
      <c r="B59" s="10">
        <f>IF($N59="","",INDEX(Stats!$A$2:$A$26,$N59))</f>
        <v/>
      </c>
      <c r="C59" s="9">
        <f>IF($N59="","",INDEX(Stats!$B$2:$B$26,$N59))</f>
        <v/>
      </c>
      <c r="D59" s="9">
        <f>IF($N59="","",INDEX(Stats!$D$2:$D$26,$N59))</f>
        <v/>
      </c>
      <c r="E59" s="9">
        <f>IF($N59="","",INDEX(Stats!$E$2:$E$26,$N59))</f>
        <v/>
      </c>
      <c r="F59" s="9">
        <f>IF($N59="","",INDEX(Stats!$F$2:$F$26,$N59))</f>
        <v/>
      </c>
      <c r="G59" s="9">
        <f>IF($N59="","",INDEX(Stats!$G$2:$G$26,$N59))</f>
        <v/>
      </c>
      <c r="H59" s="9">
        <f>IF($N59="","",INDEX(Stats!$H$2:$H$26,$N59))</f>
        <v/>
      </c>
      <c r="I59" s="9">
        <f>IF($N59="","",INDEX(Stats!$I$2:$I$26,$N59))</f>
        <v/>
      </c>
      <c r="J59" s="9">
        <f>IF($N59="","",INDEX(Stats!$J$2:$J$26,$N59))</f>
        <v/>
      </c>
      <c r="K59" s="9">
        <f>IF($N59="","",INDEX(Stats!$K$2:$K$26,$N59))</f>
        <v/>
      </c>
      <c r="L59" s="4" t="n"/>
      <c r="M59" s="4">
        <f>IFERROR(LARGE(Stats!$L$2:$L$26,13),-1)</f>
        <v/>
      </c>
      <c r="N59" s="4">
        <f>IF($M59&gt;=0,MATCH($M59,Stats!$L$2:$L$26,0),"")</f>
        <v/>
      </c>
    </row>
    <row r="60">
      <c r="A60" s="9">
        <f>IF($N60="","",14)</f>
        <v/>
      </c>
      <c r="B60" s="10">
        <f>IF($N60="","",INDEX(Stats!$A$2:$A$26,$N60))</f>
        <v/>
      </c>
      <c r="C60" s="9">
        <f>IF($N60="","",INDEX(Stats!$B$2:$B$26,$N60))</f>
        <v/>
      </c>
      <c r="D60" s="9">
        <f>IF($N60="","",INDEX(Stats!$D$2:$D$26,$N60))</f>
        <v/>
      </c>
      <c r="E60" s="9">
        <f>IF($N60="","",INDEX(Stats!$E$2:$E$26,$N60))</f>
        <v/>
      </c>
      <c r="F60" s="9">
        <f>IF($N60="","",INDEX(Stats!$F$2:$F$26,$N60))</f>
        <v/>
      </c>
      <c r="G60" s="9">
        <f>IF($N60="","",INDEX(Stats!$G$2:$G$26,$N60))</f>
        <v/>
      </c>
      <c r="H60" s="9">
        <f>IF($N60="","",INDEX(Stats!$H$2:$H$26,$N60))</f>
        <v/>
      </c>
      <c r="I60" s="9">
        <f>IF($N60="","",INDEX(Stats!$I$2:$I$26,$N60))</f>
        <v/>
      </c>
      <c r="J60" s="9">
        <f>IF($N60="","",INDEX(Stats!$J$2:$J$26,$N60))</f>
        <v/>
      </c>
      <c r="K60" s="9">
        <f>IF($N60="","",INDEX(Stats!$K$2:$K$26,$N60))</f>
        <v/>
      </c>
      <c r="L60" s="4" t="n"/>
      <c r="M60" s="4">
        <f>IFERROR(LARGE(Stats!$L$2:$L$26,14),-1)</f>
        <v/>
      </c>
      <c r="N60" s="4">
        <f>IF($M60&gt;=0,MATCH($M60,Stats!$L$2:$L$26,0),"")</f>
        <v/>
      </c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11" t="inlineStr">
        <is>
          <t>Pot</t>
        </is>
      </c>
      <c r="B62" s="12">
        <f>SUM(Stats!X2:X26)</f>
        <v/>
      </c>
      <c r="C62" s="4">
        <f>SUM(Stats!W2:W26)&amp;" buy-ins"</f>
        <v/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5" t="inlineStr">
        <is>
          <t>Poker (ranked by net once cash-outs are in)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4" t="n"/>
      <c r="M63" s="4" t="n"/>
      <c r="N63" s="4" t="n"/>
    </row>
    <row r="64">
      <c r="A64" s="8" t="inlineStr">
        <is>
          <t>Rank</t>
        </is>
      </c>
      <c r="B64" s="8" t="inlineStr">
        <is>
          <t>Player</t>
        </is>
      </c>
      <c r="C64" s="8" t="inlineStr">
        <is>
          <t>Buy-ins</t>
        </is>
      </c>
      <c r="D64" s="8" t="inlineStr">
        <is>
          <t>Paid in</t>
        </is>
      </c>
      <c r="E64" s="8" t="inlineStr">
        <is>
          <t>Cash out</t>
        </is>
      </c>
      <c r="F64" s="8" t="inlineStr">
        <is>
          <t>Net</t>
        </is>
      </c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9">
        <f>IF($N65="","",1)</f>
        <v/>
      </c>
      <c r="B65" s="10">
        <f>IF($N65="","",INDEX(Stats!$A$2:$A$26,$N65))</f>
        <v/>
      </c>
      <c r="C65" s="9">
        <f>IF($N65="","",INDEX(Stats!$W$2:$W$26,$N65))</f>
        <v/>
      </c>
      <c r="D65" s="13">
        <f>IF($N65="","",INDEX(Stats!$X$2:$X$26,$N65))</f>
        <v/>
      </c>
      <c r="E65" s="13">
        <f>IF($N65="","",INDEX(Stats!$Y$2:$Y$26,$N65))</f>
        <v/>
      </c>
      <c r="F65" s="14">
        <f>IF($N65="","",INDEX(Stats!$Z$2:$Z$26,$N65))</f>
        <v/>
      </c>
      <c r="G65" s="4" t="n"/>
      <c r="H65" s="4" t="n"/>
      <c r="I65" s="4" t="n"/>
      <c r="J65" s="4" t="n"/>
      <c r="K65" s="4" t="n"/>
      <c r="L65" s="4" t="n"/>
      <c r="M65" s="4">
        <f>IFERROR(LARGE(Stats!$AA$2:$AA$26,1),-1)</f>
        <v/>
      </c>
      <c r="N65" s="4">
        <f>IF($M65&gt;=0,MATCH($M65,Stats!$AA$2:$AA$26,0),"")</f>
        <v/>
      </c>
    </row>
    <row r="66">
      <c r="A66" s="9">
        <f>IF($N66="","",2)</f>
        <v/>
      </c>
      <c r="B66" s="10">
        <f>IF($N66="","",INDEX(Stats!$A$2:$A$26,$N66))</f>
        <v/>
      </c>
      <c r="C66" s="9">
        <f>IF($N66="","",INDEX(Stats!$W$2:$W$26,$N66))</f>
        <v/>
      </c>
      <c r="D66" s="13">
        <f>IF($N66="","",INDEX(Stats!$X$2:$X$26,$N66))</f>
        <v/>
      </c>
      <c r="E66" s="13">
        <f>IF($N66="","",INDEX(Stats!$Y$2:$Y$26,$N66))</f>
        <v/>
      </c>
      <c r="F66" s="14">
        <f>IF($N66="","",INDEX(Stats!$Z$2:$Z$26,$N66))</f>
        <v/>
      </c>
      <c r="G66" s="4" t="n"/>
      <c r="H66" s="4" t="n"/>
      <c r="I66" s="4" t="n"/>
      <c r="J66" s="4" t="n"/>
      <c r="K66" s="4" t="n"/>
      <c r="L66" s="4" t="n"/>
      <c r="M66" s="4">
        <f>IFERROR(LARGE(Stats!$AA$2:$AA$26,2),-1)</f>
        <v/>
      </c>
      <c r="N66" s="4">
        <f>IF($M66&gt;=0,MATCH($M66,Stats!$AA$2:$AA$26,0),"")</f>
        <v/>
      </c>
    </row>
    <row r="67">
      <c r="A67" s="9">
        <f>IF($N67="","",3)</f>
        <v/>
      </c>
      <c r="B67" s="10">
        <f>IF($N67="","",INDEX(Stats!$A$2:$A$26,$N67))</f>
        <v/>
      </c>
      <c r="C67" s="9">
        <f>IF($N67="","",INDEX(Stats!$W$2:$W$26,$N67))</f>
        <v/>
      </c>
      <c r="D67" s="13">
        <f>IF($N67="","",INDEX(Stats!$X$2:$X$26,$N67))</f>
        <v/>
      </c>
      <c r="E67" s="13">
        <f>IF($N67="","",INDEX(Stats!$Y$2:$Y$26,$N67))</f>
        <v/>
      </c>
      <c r="F67" s="14">
        <f>IF($N67="","",INDEX(Stats!$Z$2:$Z$26,$N67))</f>
        <v/>
      </c>
      <c r="G67" s="4" t="n"/>
      <c r="H67" s="4" t="n"/>
      <c r="I67" s="4" t="n"/>
      <c r="J67" s="4" t="n"/>
      <c r="K67" s="4" t="n"/>
      <c r="L67" s="4" t="n"/>
      <c r="M67" s="4">
        <f>IFERROR(LARGE(Stats!$AA$2:$AA$26,3),-1)</f>
        <v/>
      </c>
      <c r="N67" s="4">
        <f>IF($M67&gt;=0,MATCH($M67,Stats!$AA$2:$AA$26,0),"")</f>
        <v/>
      </c>
    </row>
    <row r="68">
      <c r="A68" s="9">
        <f>IF($N68="","",4)</f>
        <v/>
      </c>
      <c r="B68" s="10">
        <f>IF($N68="","",INDEX(Stats!$A$2:$A$26,$N68))</f>
        <v/>
      </c>
      <c r="C68" s="9">
        <f>IF($N68="","",INDEX(Stats!$W$2:$W$26,$N68))</f>
        <v/>
      </c>
      <c r="D68" s="13">
        <f>IF($N68="","",INDEX(Stats!$X$2:$X$26,$N68))</f>
        <v/>
      </c>
      <c r="E68" s="13">
        <f>IF($N68="","",INDEX(Stats!$Y$2:$Y$26,$N68))</f>
        <v/>
      </c>
      <c r="F68" s="14">
        <f>IF($N68="","",INDEX(Stats!$Z$2:$Z$26,$N68))</f>
        <v/>
      </c>
      <c r="G68" s="4" t="n"/>
      <c r="H68" s="4" t="n"/>
      <c r="I68" s="4" t="n"/>
      <c r="J68" s="4" t="n"/>
      <c r="K68" s="4" t="n"/>
      <c r="L68" s="4" t="n"/>
      <c r="M68" s="4">
        <f>IFERROR(LARGE(Stats!$AA$2:$AA$26,4),-1)</f>
        <v/>
      </c>
      <c r="N68" s="4">
        <f>IF($M68&gt;=0,MATCH($M68,Stats!$AA$2:$AA$26,0),"")</f>
        <v/>
      </c>
    </row>
    <row r="69">
      <c r="A69" s="9">
        <f>IF($N69="","",5)</f>
        <v/>
      </c>
      <c r="B69" s="10">
        <f>IF($N69="","",INDEX(Stats!$A$2:$A$26,$N69))</f>
        <v/>
      </c>
      <c r="C69" s="9">
        <f>IF($N69="","",INDEX(Stats!$W$2:$W$26,$N69))</f>
        <v/>
      </c>
      <c r="D69" s="13">
        <f>IF($N69="","",INDEX(Stats!$X$2:$X$26,$N69))</f>
        <v/>
      </c>
      <c r="E69" s="13">
        <f>IF($N69="","",INDEX(Stats!$Y$2:$Y$26,$N69))</f>
        <v/>
      </c>
      <c r="F69" s="14">
        <f>IF($N69="","",INDEX(Stats!$Z$2:$Z$26,$N69))</f>
        <v/>
      </c>
      <c r="G69" s="4" t="n"/>
      <c r="H69" s="4" t="n"/>
      <c r="I69" s="4" t="n"/>
      <c r="J69" s="4" t="n"/>
      <c r="K69" s="4" t="n"/>
      <c r="L69" s="4" t="n"/>
      <c r="M69" s="4">
        <f>IFERROR(LARGE(Stats!$AA$2:$AA$26,5),-1)</f>
        <v/>
      </c>
      <c r="N69" s="4">
        <f>IF($M69&gt;=0,MATCH($M69,Stats!$AA$2:$AA$26,0),"")</f>
        <v/>
      </c>
    </row>
    <row r="70">
      <c r="A70" s="9">
        <f>IF($N70="","",6)</f>
        <v/>
      </c>
      <c r="B70" s="10">
        <f>IF($N70="","",INDEX(Stats!$A$2:$A$26,$N70))</f>
        <v/>
      </c>
      <c r="C70" s="9">
        <f>IF($N70="","",INDEX(Stats!$W$2:$W$26,$N70))</f>
        <v/>
      </c>
      <c r="D70" s="13">
        <f>IF($N70="","",INDEX(Stats!$X$2:$X$26,$N70))</f>
        <v/>
      </c>
      <c r="E70" s="13">
        <f>IF($N70="","",INDEX(Stats!$Y$2:$Y$26,$N70))</f>
        <v/>
      </c>
      <c r="F70" s="14">
        <f>IF($N70="","",INDEX(Stats!$Z$2:$Z$26,$N70))</f>
        <v/>
      </c>
      <c r="G70" s="4" t="n"/>
      <c r="H70" s="4" t="n"/>
      <c r="I70" s="4" t="n"/>
      <c r="J70" s="4" t="n"/>
      <c r="K70" s="4" t="n"/>
      <c r="L70" s="4" t="n"/>
      <c r="M70" s="4">
        <f>IFERROR(LARGE(Stats!$AA$2:$AA$26,6),-1)</f>
        <v/>
      </c>
      <c r="N70" s="4">
        <f>IF($M70&gt;=0,MATCH($M70,Stats!$AA$2:$AA$26,0),"")</f>
        <v/>
      </c>
    </row>
    <row r="71">
      <c r="A71" s="9">
        <f>IF($N71="","",7)</f>
        <v/>
      </c>
      <c r="B71" s="10">
        <f>IF($N71="","",INDEX(Stats!$A$2:$A$26,$N71))</f>
        <v/>
      </c>
      <c r="C71" s="9">
        <f>IF($N71="","",INDEX(Stats!$W$2:$W$26,$N71))</f>
        <v/>
      </c>
      <c r="D71" s="13">
        <f>IF($N71="","",INDEX(Stats!$X$2:$X$26,$N71))</f>
        <v/>
      </c>
      <c r="E71" s="13">
        <f>IF($N71="","",INDEX(Stats!$Y$2:$Y$26,$N71))</f>
        <v/>
      </c>
      <c r="F71" s="14">
        <f>IF($N71="","",INDEX(Stats!$Z$2:$Z$26,$N71))</f>
        <v/>
      </c>
      <c r="G71" s="4" t="n"/>
      <c r="H71" s="4" t="n"/>
      <c r="I71" s="4" t="n"/>
      <c r="J71" s="4" t="n"/>
      <c r="K71" s="4" t="n"/>
      <c r="L71" s="4" t="n"/>
      <c r="M71" s="4">
        <f>IFERROR(LARGE(Stats!$AA$2:$AA$26,7),-1)</f>
        <v/>
      </c>
      <c r="N71" s="4">
        <f>IF($M71&gt;=0,MATCH($M71,Stats!$AA$2:$AA$26,0),"")</f>
        <v/>
      </c>
    </row>
    <row r="72">
      <c r="A72" s="9">
        <f>IF($N72="","",8)</f>
        <v/>
      </c>
      <c r="B72" s="10">
        <f>IF($N72="","",INDEX(Stats!$A$2:$A$26,$N72))</f>
        <v/>
      </c>
      <c r="C72" s="9">
        <f>IF($N72="","",INDEX(Stats!$W$2:$W$26,$N72))</f>
        <v/>
      </c>
      <c r="D72" s="13">
        <f>IF($N72="","",INDEX(Stats!$X$2:$X$26,$N72))</f>
        <v/>
      </c>
      <c r="E72" s="13">
        <f>IF($N72="","",INDEX(Stats!$Y$2:$Y$26,$N72))</f>
        <v/>
      </c>
      <c r="F72" s="14">
        <f>IF($N72="","",INDEX(Stats!$Z$2:$Z$26,$N72))</f>
        <v/>
      </c>
      <c r="G72" s="4" t="n"/>
      <c r="H72" s="4" t="n"/>
      <c r="I72" s="4" t="n"/>
      <c r="J72" s="4" t="n"/>
      <c r="K72" s="4" t="n"/>
      <c r="L72" s="4" t="n"/>
      <c r="M72" s="4">
        <f>IFERROR(LARGE(Stats!$AA$2:$AA$26,8),-1)</f>
        <v/>
      </c>
      <c r="N72" s="4">
        <f>IF($M72&gt;=0,MATCH($M72,Stats!$AA$2:$AA$26,0),"")</f>
        <v/>
      </c>
    </row>
    <row r="73">
      <c r="A73" s="9">
        <f>IF($N73="","",9)</f>
        <v/>
      </c>
      <c r="B73" s="10">
        <f>IF($N73="","",INDEX(Stats!$A$2:$A$26,$N73))</f>
        <v/>
      </c>
      <c r="C73" s="9">
        <f>IF($N73="","",INDEX(Stats!$W$2:$W$26,$N73))</f>
        <v/>
      </c>
      <c r="D73" s="13">
        <f>IF($N73="","",INDEX(Stats!$X$2:$X$26,$N73))</f>
        <v/>
      </c>
      <c r="E73" s="13">
        <f>IF($N73="","",INDEX(Stats!$Y$2:$Y$26,$N73))</f>
        <v/>
      </c>
      <c r="F73" s="14">
        <f>IF($N73="","",INDEX(Stats!$Z$2:$Z$26,$N73))</f>
        <v/>
      </c>
      <c r="G73" s="4" t="n"/>
      <c r="H73" s="4" t="n"/>
      <c r="I73" s="4" t="n"/>
      <c r="J73" s="4" t="n"/>
      <c r="K73" s="4" t="n"/>
      <c r="L73" s="4" t="n"/>
      <c r="M73" s="4">
        <f>IFERROR(LARGE(Stats!$AA$2:$AA$26,9),-1)</f>
        <v/>
      </c>
      <c r="N73" s="4">
        <f>IF($M73&gt;=0,MATCH($M73,Stats!$AA$2:$AA$26,0),"")</f>
        <v/>
      </c>
    </row>
    <row r="74">
      <c r="A74" s="9">
        <f>IF($N74="","",10)</f>
        <v/>
      </c>
      <c r="B74" s="10">
        <f>IF($N74="","",INDEX(Stats!$A$2:$A$26,$N74))</f>
        <v/>
      </c>
      <c r="C74" s="9">
        <f>IF($N74="","",INDEX(Stats!$W$2:$W$26,$N74))</f>
        <v/>
      </c>
      <c r="D74" s="13">
        <f>IF($N74="","",INDEX(Stats!$X$2:$X$26,$N74))</f>
        <v/>
      </c>
      <c r="E74" s="13">
        <f>IF($N74="","",INDEX(Stats!$Y$2:$Y$26,$N74))</f>
        <v/>
      </c>
      <c r="F74" s="14">
        <f>IF($N74="","",INDEX(Stats!$Z$2:$Z$26,$N74))</f>
        <v/>
      </c>
      <c r="G74" s="4" t="n"/>
      <c r="H74" s="4" t="n"/>
      <c r="I74" s="4" t="n"/>
      <c r="J74" s="4" t="n"/>
      <c r="K74" s="4" t="n"/>
      <c r="L74" s="4" t="n"/>
      <c r="M74" s="4">
        <f>IFERROR(LARGE(Stats!$AA$2:$AA$26,10),-1)</f>
        <v/>
      </c>
      <c r="N74" s="4">
        <f>IF($M74&gt;=0,MATCH($M74,Stats!$AA$2:$AA$26,0),"")</f>
        <v/>
      </c>
    </row>
    <row r="75">
      <c r="A75" s="9">
        <f>IF($N75="","",11)</f>
        <v/>
      </c>
      <c r="B75" s="10">
        <f>IF($N75="","",INDEX(Stats!$A$2:$A$26,$N75))</f>
        <v/>
      </c>
      <c r="C75" s="9">
        <f>IF($N75="","",INDEX(Stats!$W$2:$W$26,$N75))</f>
        <v/>
      </c>
      <c r="D75" s="13">
        <f>IF($N75="","",INDEX(Stats!$X$2:$X$26,$N75))</f>
        <v/>
      </c>
      <c r="E75" s="13">
        <f>IF($N75="","",INDEX(Stats!$Y$2:$Y$26,$N75))</f>
        <v/>
      </c>
      <c r="F75" s="14">
        <f>IF($N75="","",INDEX(Stats!$Z$2:$Z$26,$N75))</f>
        <v/>
      </c>
      <c r="G75" s="4" t="n"/>
      <c r="H75" s="4" t="n"/>
      <c r="I75" s="4" t="n"/>
      <c r="J75" s="4" t="n"/>
      <c r="K75" s="4" t="n"/>
      <c r="L75" s="4" t="n"/>
      <c r="M75" s="4">
        <f>IFERROR(LARGE(Stats!$AA$2:$AA$26,11),-1)</f>
        <v/>
      </c>
      <c r="N75" s="4">
        <f>IF($M75&gt;=0,MATCH($M75,Stats!$AA$2:$AA$26,0),"")</f>
        <v/>
      </c>
    </row>
    <row r="76">
      <c r="A76" s="9">
        <f>IF($N76="","",12)</f>
        <v/>
      </c>
      <c r="B76" s="10">
        <f>IF($N76="","",INDEX(Stats!$A$2:$A$26,$N76))</f>
        <v/>
      </c>
      <c r="C76" s="9">
        <f>IF($N76="","",INDEX(Stats!$W$2:$W$26,$N76))</f>
        <v/>
      </c>
      <c r="D76" s="13">
        <f>IF($N76="","",INDEX(Stats!$X$2:$X$26,$N76))</f>
        <v/>
      </c>
      <c r="E76" s="13">
        <f>IF($N76="","",INDEX(Stats!$Y$2:$Y$26,$N76))</f>
        <v/>
      </c>
      <c r="F76" s="14">
        <f>IF($N76="","",INDEX(Stats!$Z$2:$Z$26,$N76))</f>
        <v/>
      </c>
      <c r="G76" s="4" t="n"/>
      <c r="H76" s="4" t="n"/>
      <c r="I76" s="4" t="n"/>
      <c r="J76" s="4" t="n"/>
      <c r="K76" s="4" t="n"/>
      <c r="L76" s="4" t="n"/>
      <c r="M76" s="4">
        <f>IFERROR(LARGE(Stats!$AA$2:$AA$26,12),-1)</f>
        <v/>
      </c>
      <c r="N76" s="4">
        <f>IF($M76&gt;=0,MATCH($M76,Stats!$AA$2:$AA$26,0),"")</f>
        <v/>
      </c>
    </row>
    <row r="77">
      <c r="A77" s="9">
        <f>IF($N77="","",13)</f>
        <v/>
      </c>
      <c r="B77" s="10">
        <f>IF($N77="","",INDEX(Stats!$A$2:$A$26,$N77))</f>
        <v/>
      </c>
      <c r="C77" s="9">
        <f>IF($N77="","",INDEX(Stats!$W$2:$W$26,$N77))</f>
        <v/>
      </c>
      <c r="D77" s="13">
        <f>IF($N77="","",INDEX(Stats!$X$2:$X$26,$N77))</f>
        <v/>
      </c>
      <c r="E77" s="13">
        <f>IF($N77="","",INDEX(Stats!$Y$2:$Y$26,$N77))</f>
        <v/>
      </c>
      <c r="F77" s="14">
        <f>IF($N77="","",INDEX(Stats!$Z$2:$Z$26,$N77))</f>
        <v/>
      </c>
      <c r="G77" s="4" t="n"/>
      <c r="H77" s="4" t="n"/>
      <c r="I77" s="4" t="n"/>
      <c r="J77" s="4" t="n"/>
      <c r="K77" s="4" t="n"/>
      <c r="L77" s="4" t="n"/>
      <c r="M77" s="4">
        <f>IFERROR(LARGE(Stats!$AA$2:$AA$26,13),-1)</f>
        <v/>
      </c>
      <c r="N77" s="4">
        <f>IF($M77&gt;=0,MATCH($M77,Stats!$AA$2:$AA$26,0),"")</f>
        <v/>
      </c>
    </row>
  </sheetData>
  <conditionalFormatting sqref="A11:K11">
    <cfRule type="expression" priority="1" dxfId="0">
      <formula>$N11&lt;&gt;""</formula>
    </cfRule>
  </conditionalFormatting>
  <conditionalFormatting sqref="A20:K20">
    <cfRule type="expression" priority="2" dxfId="0">
      <formula>$N20&lt;&gt;""</formula>
    </cfRule>
  </conditionalFormatting>
  <conditionalFormatting sqref="A29:K29">
    <cfRule type="expression" priority="3" dxfId="0">
      <formula>$N29&lt;&gt;""</formula>
    </cfRule>
  </conditionalFormatting>
  <conditionalFormatting sqref="A38:K38">
    <cfRule type="expression" priority="4" dxfId="0">
      <formula>$N38&lt;&gt;""</formula>
    </cfRule>
  </conditionalFormatting>
  <conditionalFormatting sqref="A47:K47">
    <cfRule type="expression" priority="5" dxfId="0">
      <formula>$N47&lt;&gt;""</formula>
    </cfRule>
  </conditionalFormatting>
  <conditionalFormatting sqref="A65:F65">
    <cfRule type="expression" priority="6" dxfId="0">
      <formula>$N65&lt;&gt;""</formula>
    </cfRule>
  </conditionalFormatting>
  <conditionalFormatting sqref="F65:F77">
    <cfRule type="expression" priority="7" dxfId="1">
      <formula>AND(ISNUMBER($F65),$F65&gt;0)</formula>
    </cfRule>
    <cfRule type="expression" priority="8" dxfId="2">
      <formula>AND(ISNUMBER($F65),$F65&lt;0)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9" customWidth="1" min="4" max="4"/>
    <col width="9" customWidth="1" min="5" max="5"/>
  </cols>
  <sheetData>
    <row r="1">
      <c r="A1" s="8" t="inlineStr">
        <is>
          <t>Name</t>
        </is>
      </c>
      <c r="B1" s="8" t="inlineStr">
        <is>
          <t>Group</t>
        </is>
      </c>
      <c r="C1" s="8" t="inlineStr">
        <is>
          <t>Usual team</t>
        </is>
      </c>
      <c r="D1" s="8" t="inlineStr">
        <is>
          <t>Poker</t>
        </is>
      </c>
      <c r="E1" s="8" t="inlineStr">
        <is>
          <t>FIFA</t>
        </is>
      </c>
    </row>
  </sheetData>
  <conditionalFormatting sqref="A2:E26">
    <cfRule type="expression" priority="1" dxfId="3">
      <formula>TRUE</formula>
    </cfRule>
  </conditionalFormatting>
  <dataValidations count="2">
    <dataValidation sqref="B2:B26" showDropDown="0" showInputMessage="0" showErrorMessage="0" allowBlank="1" type="list">
      <formula1>=Settings!$A$15:$A$22</formula1>
    </dataValidation>
    <dataValidation sqref="D2:E26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8" customWidth="1" min="4" max="4"/>
  </cols>
  <sheetData>
    <row r="1">
      <c r="A1" s="8" t="inlineStr">
        <is>
          <t>Time</t>
        </is>
      </c>
      <c r="B1" s="8" t="inlineStr">
        <is>
          <t>Player</t>
        </is>
      </c>
      <c r="C1" s="8" t="inlineStr">
        <is>
          <t>Amount</t>
        </is>
      </c>
      <c r="D1" s="8" t="inlineStr">
        <is>
          <t>Recorded by</t>
        </is>
      </c>
    </row>
    <row r="2">
      <c r="A2" s="4" t="n"/>
      <c r="B2" s="4" t="n"/>
      <c r="C2" s="15" t="n"/>
      <c r="D2" s="4" t="n"/>
    </row>
    <row r="3">
      <c r="A3" s="4" t="n"/>
      <c r="B3" s="4" t="n"/>
      <c r="C3" s="15" t="n"/>
      <c r="D3" s="4" t="n"/>
    </row>
    <row r="4">
      <c r="A4" s="4" t="n"/>
      <c r="B4" s="4" t="n"/>
      <c r="C4" s="15" t="n"/>
      <c r="D4" s="4" t="n"/>
    </row>
    <row r="5">
      <c r="A5" s="4" t="n"/>
      <c r="B5" s="4" t="n"/>
      <c r="C5" s="15" t="n"/>
      <c r="D5" s="4" t="n"/>
    </row>
    <row r="6">
      <c r="A6" s="4" t="n"/>
      <c r="B6" s="4" t="n"/>
      <c r="C6" s="15" t="n"/>
      <c r="D6" s="4" t="n"/>
    </row>
    <row r="7">
      <c r="A7" s="4" t="n"/>
      <c r="B7" s="4" t="n"/>
      <c r="C7" s="15" t="n"/>
      <c r="D7" s="4" t="n"/>
    </row>
    <row r="8">
      <c r="A8" s="4" t="n"/>
      <c r="B8" s="4" t="n"/>
      <c r="C8" s="15" t="n"/>
      <c r="D8" s="4" t="n"/>
    </row>
    <row r="9">
      <c r="A9" s="4" t="n"/>
      <c r="B9" s="4" t="n"/>
      <c r="C9" s="15" t="n"/>
      <c r="D9" s="4" t="n"/>
    </row>
    <row r="10">
      <c r="A10" s="4" t="n"/>
      <c r="B10" s="4" t="n"/>
      <c r="C10" s="15" t="n"/>
      <c r="D10" s="4" t="n"/>
    </row>
    <row r="11">
      <c r="A11" s="4" t="n"/>
      <c r="B11" s="4" t="n"/>
      <c r="C11" s="15" t="n"/>
      <c r="D11" s="4" t="n"/>
    </row>
    <row r="12">
      <c r="A12" s="4" t="n"/>
      <c r="B12" s="4" t="n"/>
      <c r="C12" s="15" t="n"/>
      <c r="D12" s="4" t="n"/>
    </row>
    <row r="13">
      <c r="A13" s="4" t="n"/>
      <c r="B13" s="4" t="n"/>
      <c r="C13" s="15" t="n"/>
      <c r="D13" s="4" t="n"/>
    </row>
    <row r="14">
      <c r="A14" s="4" t="n"/>
      <c r="B14" s="4" t="n"/>
      <c r="C14" s="15" t="n"/>
      <c r="D14" s="4" t="n"/>
    </row>
    <row r="15">
      <c r="A15" s="4" t="n"/>
      <c r="B15" s="4" t="n"/>
      <c r="C15" s="15" t="n"/>
      <c r="D15" s="4" t="n"/>
    </row>
    <row r="16">
      <c r="A16" s="4" t="n"/>
      <c r="B16" s="4" t="n"/>
      <c r="C16" s="15" t="n"/>
      <c r="D16" s="4" t="n"/>
    </row>
    <row r="17">
      <c r="A17" s="4" t="n"/>
      <c r="B17" s="4" t="n"/>
      <c r="C17" s="15" t="n"/>
      <c r="D17" s="4" t="n"/>
    </row>
    <row r="18">
      <c r="A18" s="4" t="n"/>
      <c r="B18" s="4" t="n"/>
      <c r="C18" s="15" t="n"/>
      <c r="D18" s="4" t="n"/>
    </row>
    <row r="19">
      <c r="A19" s="4" t="n"/>
      <c r="B19" s="4" t="n"/>
      <c r="C19" s="15" t="n"/>
      <c r="D19" s="4" t="n"/>
    </row>
    <row r="20">
      <c r="A20" s="4" t="n"/>
      <c r="B20" s="4" t="n"/>
      <c r="C20" s="15" t="n"/>
      <c r="D20" s="4" t="n"/>
    </row>
    <row r="21">
      <c r="A21" s="4" t="n"/>
      <c r="B21" s="4" t="n"/>
      <c r="C21" s="15" t="n"/>
      <c r="D21" s="4" t="n"/>
    </row>
    <row r="22">
      <c r="A22" s="4" t="n"/>
      <c r="B22" s="4" t="n"/>
      <c r="C22" s="15" t="n"/>
      <c r="D22" s="4" t="n"/>
    </row>
    <row r="23">
      <c r="A23" s="4" t="n"/>
      <c r="B23" s="4" t="n"/>
      <c r="C23" s="15" t="n"/>
      <c r="D23" s="4" t="n"/>
    </row>
    <row r="24">
      <c r="A24" s="4" t="n"/>
      <c r="B24" s="4" t="n"/>
      <c r="C24" s="15" t="n"/>
      <c r="D24" s="4" t="n"/>
    </row>
    <row r="25">
      <c r="A25" s="4" t="n"/>
      <c r="B25" s="4" t="n"/>
      <c r="C25" s="15" t="n"/>
      <c r="D25" s="4" t="n"/>
    </row>
    <row r="26">
      <c r="A26" s="4" t="n"/>
      <c r="B26" s="4" t="n"/>
      <c r="C26" s="15" t="n"/>
      <c r="D26" s="4" t="n"/>
    </row>
    <row r="27">
      <c r="A27" s="4" t="n"/>
      <c r="B27" s="4" t="n"/>
      <c r="C27" s="15" t="n"/>
      <c r="D27" s="4" t="n"/>
    </row>
    <row r="28">
      <c r="A28" s="4" t="n"/>
      <c r="B28" s="4" t="n"/>
      <c r="C28" s="15" t="n"/>
      <c r="D28" s="4" t="n"/>
    </row>
    <row r="29">
      <c r="A29" s="4" t="n"/>
      <c r="B29" s="4" t="n"/>
      <c r="C29" s="15" t="n"/>
      <c r="D29" s="4" t="n"/>
    </row>
    <row r="30">
      <c r="A30" s="4" t="n"/>
      <c r="B30" s="4" t="n"/>
      <c r="C30" s="15" t="n"/>
      <c r="D30" s="4" t="n"/>
    </row>
    <row r="31">
      <c r="A31" s="4" t="n"/>
      <c r="B31" s="4" t="n"/>
      <c r="C31" s="15" t="n"/>
      <c r="D31" s="4" t="n"/>
    </row>
    <row r="32">
      <c r="A32" s="4" t="n"/>
      <c r="B32" s="4" t="n"/>
      <c r="C32" s="15" t="n"/>
      <c r="D32" s="4" t="n"/>
    </row>
    <row r="33">
      <c r="A33" s="4" t="n"/>
      <c r="B33" s="4" t="n"/>
      <c r="C33" s="15" t="n"/>
      <c r="D33" s="4" t="n"/>
    </row>
    <row r="34">
      <c r="A34" s="4" t="n"/>
      <c r="B34" s="4" t="n"/>
      <c r="C34" s="15" t="n"/>
      <c r="D34" s="4" t="n"/>
    </row>
    <row r="35">
      <c r="A35" s="4" t="n"/>
      <c r="B35" s="4" t="n"/>
      <c r="C35" s="15" t="n"/>
      <c r="D35" s="4" t="n"/>
    </row>
    <row r="36">
      <c r="A36" s="4" t="n"/>
      <c r="B36" s="4" t="n"/>
      <c r="C36" s="15" t="n"/>
      <c r="D36" s="4" t="n"/>
    </row>
    <row r="37">
      <c r="A37" s="4" t="n"/>
      <c r="B37" s="4" t="n"/>
      <c r="C37" s="15" t="n"/>
      <c r="D37" s="4" t="n"/>
    </row>
    <row r="38">
      <c r="A38" s="4" t="n"/>
      <c r="B38" s="4" t="n"/>
      <c r="C38" s="15" t="n"/>
      <c r="D38" s="4" t="n"/>
    </row>
    <row r="39">
      <c r="A39" s="4" t="n"/>
      <c r="B39" s="4" t="n"/>
      <c r="C39" s="15" t="n"/>
      <c r="D39" s="4" t="n"/>
    </row>
    <row r="40">
      <c r="A40" s="4" t="n"/>
      <c r="B40" s="4" t="n"/>
      <c r="C40" s="15" t="n"/>
      <c r="D40" s="4" t="n"/>
    </row>
    <row r="41">
      <c r="A41" s="4" t="n"/>
      <c r="B41" s="4" t="n"/>
      <c r="C41" s="15" t="n"/>
      <c r="D41" s="4" t="n"/>
    </row>
    <row r="42">
      <c r="A42" s="4" t="n"/>
      <c r="B42" s="4" t="n"/>
      <c r="C42" s="15" t="n"/>
      <c r="D42" s="4" t="n"/>
    </row>
    <row r="43">
      <c r="A43" s="4" t="n"/>
      <c r="B43" s="4" t="n"/>
      <c r="C43" s="15" t="n"/>
      <c r="D43" s="4" t="n"/>
    </row>
    <row r="44">
      <c r="A44" s="4" t="n"/>
      <c r="B44" s="4" t="n"/>
      <c r="C44" s="15" t="n"/>
      <c r="D44" s="4" t="n"/>
    </row>
    <row r="45">
      <c r="A45" s="4" t="n"/>
      <c r="B45" s="4" t="n"/>
      <c r="C45" s="15" t="n"/>
      <c r="D45" s="4" t="n"/>
    </row>
    <row r="46">
      <c r="A46" s="4" t="n"/>
      <c r="B46" s="4" t="n"/>
      <c r="C46" s="15" t="n"/>
      <c r="D46" s="4" t="n"/>
    </row>
    <row r="47">
      <c r="A47" s="4" t="n"/>
      <c r="B47" s="4" t="n"/>
      <c r="C47" s="15" t="n"/>
      <c r="D47" s="4" t="n"/>
    </row>
    <row r="48">
      <c r="A48" s="4" t="n"/>
      <c r="B48" s="4" t="n"/>
      <c r="C48" s="15" t="n"/>
      <c r="D48" s="4" t="n"/>
    </row>
    <row r="49">
      <c r="A49" s="4" t="n"/>
      <c r="B49" s="4" t="n"/>
      <c r="C49" s="15" t="n"/>
      <c r="D49" s="4" t="n"/>
    </row>
    <row r="50">
      <c r="A50" s="4" t="n"/>
      <c r="B50" s="4" t="n"/>
      <c r="C50" s="15" t="n"/>
      <c r="D50" s="4" t="n"/>
    </row>
    <row r="51">
      <c r="A51" s="4" t="n"/>
      <c r="B51" s="4" t="n"/>
      <c r="C51" s="15" t="n"/>
      <c r="D51" s="4" t="n"/>
    </row>
    <row r="52">
      <c r="A52" s="4" t="n"/>
      <c r="B52" s="4" t="n"/>
      <c r="C52" s="15" t="n"/>
      <c r="D52" s="4" t="n"/>
    </row>
    <row r="53">
      <c r="A53" s="4" t="n"/>
      <c r="B53" s="4" t="n"/>
      <c r="C53" s="15" t="n"/>
      <c r="D53" s="4" t="n"/>
    </row>
    <row r="54">
      <c r="A54" s="4" t="n"/>
      <c r="B54" s="4" t="n"/>
      <c r="C54" s="15" t="n"/>
      <c r="D54" s="4" t="n"/>
    </row>
    <row r="55">
      <c r="A55" s="4" t="n"/>
      <c r="B55" s="4" t="n"/>
      <c r="C55" s="15" t="n"/>
      <c r="D55" s="4" t="n"/>
    </row>
    <row r="56">
      <c r="A56" s="4" t="n"/>
      <c r="B56" s="4" t="n"/>
      <c r="C56" s="15" t="n"/>
      <c r="D56" s="4" t="n"/>
    </row>
    <row r="57">
      <c r="A57" s="4" t="n"/>
      <c r="B57" s="4" t="n"/>
      <c r="C57" s="15" t="n"/>
      <c r="D57" s="4" t="n"/>
    </row>
    <row r="58">
      <c r="A58" s="4" t="n"/>
      <c r="B58" s="4" t="n"/>
      <c r="C58" s="15" t="n"/>
      <c r="D58" s="4" t="n"/>
    </row>
    <row r="59">
      <c r="A59" s="4" t="n"/>
      <c r="B59" s="4" t="n"/>
      <c r="C59" s="15" t="n"/>
      <c r="D59" s="4" t="n"/>
    </row>
    <row r="60">
      <c r="A60" s="4" t="n"/>
      <c r="B60" s="4" t="n"/>
      <c r="C60" s="15" t="n"/>
      <c r="D60" s="4" t="n"/>
    </row>
    <row r="61">
      <c r="A61" s="4" t="n"/>
      <c r="B61" s="4" t="n"/>
      <c r="C61" s="15" t="n"/>
      <c r="D61" s="4" t="n"/>
    </row>
    <row r="62">
      <c r="A62" s="4" t="n"/>
      <c r="B62" s="4" t="n"/>
      <c r="C62" s="15" t="n"/>
      <c r="D62" s="4" t="n"/>
    </row>
    <row r="63">
      <c r="A63" s="4" t="n"/>
      <c r="B63" s="4" t="n"/>
      <c r="C63" s="15" t="n"/>
      <c r="D63" s="4" t="n"/>
    </row>
    <row r="64">
      <c r="A64" s="4" t="n"/>
      <c r="B64" s="4" t="n"/>
      <c r="C64" s="15" t="n"/>
      <c r="D64" s="4" t="n"/>
    </row>
    <row r="65">
      <c r="A65" s="4" t="n"/>
      <c r="B65" s="4" t="n"/>
      <c r="C65" s="15" t="n"/>
      <c r="D65" s="4" t="n"/>
    </row>
    <row r="66">
      <c r="A66" s="4" t="n"/>
      <c r="B66" s="4" t="n"/>
      <c r="C66" s="15" t="n"/>
      <c r="D66" s="4" t="n"/>
    </row>
    <row r="67">
      <c r="A67" s="4" t="n"/>
      <c r="B67" s="4" t="n"/>
      <c r="C67" s="15" t="n"/>
      <c r="D67" s="4" t="n"/>
    </row>
    <row r="68">
      <c r="A68" s="4" t="n"/>
      <c r="B68" s="4" t="n"/>
      <c r="C68" s="15" t="n"/>
      <c r="D68" s="4" t="n"/>
    </row>
    <row r="69">
      <c r="A69" s="4" t="n"/>
      <c r="B69" s="4" t="n"/>
      <c r="C69" s="15" t="n"/>
      <c r="D69" s="4" t="n"/>
    </row>
    <row r="70">
      <c r="A70" s="4" t="n"/>
      <c r="B70" s="4" t="n"/>
      <c r="C70" s="15" t="n"/>
      <c r="D70" s="4" t="n"/>
    </row>
    <row r="71">
      <c r="A71" s="4" t="n"/>
      <c r="B71" s="4" t="n"/>
      <c r="C71" s="15" t="n"/>
      <c r="D71" s="4" t="n"/>
    </row>
    <row r="72">
      <c r="A72" s="4" t="n"/>
      <c r="B72" s="4" t="n"/>
      <c r="C72" s="15" t="n"/>
      <c r="D72" s="4" t="n"/>
    </row>
    <row r="73">
      <c r="A73" s="4" t="n"/>
      <c r="B73" s="4" t="n"/>
      <c r="C73" s="15" t="n"/>
      <c r="D73" s="4" t="n"/>
    </row>
    <row r="74">
      <c r="A74" s="4" t="n"/>
      <c r="B74" s="4" t="n"/>
      <c r="C74" s="15" t="n"/>
      <c r="D74" s="4" t="n"/>
    </row>
    <row r="75">
      <c r="A75" s="4" t="n"/>
      <c r="B75" s="4" t="n"/>
      <c r="C75" s="15" t="n"/>
      <c r="D75" s="4" t="n"/>
    </row>
    <row r="76">
      <c r="A76" s="4" t="n"/>
      <c r="B76" s="4" t="n"/>
      <c r="C76" s="15" t="n"/>
      <c r="D76" s="4" t="n"/>
    </row>
    <row r="77">
      <c r="A77" s="4" t="n"/>
      <c r="B77" s="4" t="n"/>
      <c r="C77" s="15" t="n"/>
      <c r="D77" s="4" t="n"/>
    </row>
    <row r="78">
      <c r="A78" s="4" t="n"/>
      <c r="B78" s="4" t="n"/>
      <c r="C78" s="15" t="n"/>
      <c r="D78" s="4" t="n"/>
    </row>
    <row r="79">
      <c r="A79" s="4" t="n"/>
      <c r="B79" s="4" t="n"/>
      <c r="C79" s="15" t="n"/>
      <c r="D79" s="4" t="n"/>
    </row>
    <row r="80">
      <c r="A80" s="4" t="n"/>
      <c r="B80" s="4" t="n"/>
      <c r="C80" s="15" t="n"/>
      <c r="D80" s="4" t="n"/>
    </row>
    <row r="81">
      <c r="A81" s="4" t="n"/>
      <c r="B81" s="4" t="n"/>
      <c r="C81" s="15" t="n"/>
      <c r="D81" s="4" t="n"/>
    </row>
    <row r="82">
      <c r="A82" s="4" t="n"/>
      <c r="B82" s="4" t="n"/>
      <c r="C82" s="15" t="n"/>
      <c r="D82" s="4" t="n"/>
    </row>
    <row r="83">
      <c r="A83" s="4" t="n"/>
      <c r="B83" s="4" t="n"/>
      <c r="C83" s="15" t="n"/>
      <c r="D83" s="4" t="n"/>
    </row>
    <row r="84">
      <c r="A84" s="4" t="n"/>
      <c r="B84" s="4" t="n"/>
      <c r="C84" s="15" t="n"/>
      <c r="D84" s="4" t="n"/>
    </row>
    <row r="85">
      <c r="A85" s="4" t="n"/>
      <c r="B85" s="4" t="n"/>
      <c r="C85" s="15" t="n"/>
      <c r="D85" s="4" t="n"/>
    </row>
    <row r="86">
      <c r="A86" s="4" t="n"/>
      <c r="B86" s="4" t="n"/>
      <c r="C86" s="15" t="n"/>
      <c r="D86" s="4" t="n"/>
    </row>
    <row r="87">
      <c r="A87" s="4" t="n"/>
      <c r="B87" s="4" t="n"/>
      <c r="C87" s="15" t="n"/>
      <c r="D87" s="4" t="n"/>
    </row>
    <row r="88">
      <c r="A88" s="4" t="n"/>
      <c r="B88" s="4" t="n"/>
      <c r="C88" s="15" t="n"/>
      <c r="D88" s="4" t="n"/>
    </row>
    <row r="89">
      <c r="A89" s="4" t="n"/>
      <c r="B89" s="4" t="n"/>
      <c r="C89" s="15" t="n"/>
      <c r="D89" s="4" t="n"/>
    </row>
    <row r="90">
      <c r="A90" s="4" t="n"/>
      <c r="B90" s="4" t="n"/>
      <c r="C90" s="15" t="n"/>
      <c r="D90" s="4" t="n"/>
    </row>
    <row r="91">
      <c r="A91" s="4" t="n"/>
      <c r="B91" s="4" t="n"/>
      <c r="C91" s="15" t="n"/>
      <c r="D91" s="4" t="n"/>
    </row>
    <row r="92">
      <c r="A92" s="4" t="n"/>
      <c r="B92" s="4" t="n"/>
      <c r="C92" s="15" t="n"/>
      <c r="D92" s="4" t="n"/>
    </row>
    <row r="93">
      <c r="A93" s="4" t="n"/>
      <c r="B93" s="4" t="n"/>
      <c r="C93" s="15" t="n"/>
      <c r="D93" s="4" t="n"/>
    </row>
    <row r="94">
      <c r="A94" s="4" t="n"/>
      <c r="B94" s="4" t="n"/>
      <c r="C94" s="15" t="n"/>
      <c r="D94" s="4" t="n"/>
    </row>
    <row r="95">
      <c r="A95" s="4" t="n"/>
      <c r="B95" s="4" t="n"/>
      <c r="C95" s="15" t="n"/>
      <c r="D95" s="4" t="n"/>
    </row>
    <row r="96">
      <c r="A96" s="4" t="n"/>
      <c r="B96" s="4" t="n"/>
      <c r="C96" s="15" t="n"/>
      <c r="D96" s="4" t="n"/>
    </row>
    <row r="97">
      <c r="A97" s="4" t="n"/>
      <c r="B97" s="4" t="n"/>
      <c r="C97" s="15" t="n"/>
      <c r="D97" s="4" t="n"/>
    </row>
    <row r="98">
      <c r="A98" s="4" t="n"/>
      <c r="B98" s="4" t="n"/>
      <c r="C98" s="15" t="n"/>
      <c r="D98" s="4" t="n"/>
    </row>
    <row r="99">
      <c r="A99" s="4" t="n"/>
      <c r="B99" s="4" t="n"/>
      <c r="C99" s="15" t="n"/>
      <c r="D99" s="4" t="n"/>
    </row>
    <row r="100">
      <c r="A100" s="4" t="n"/>
      <c r="B100" s="4" t="n"/>
      <c r="C100" s="15" t="n"/>
      <c r="D100" s="4" t="n"/>
    </row>
    <row r="101">
      <c r="A101" s="4" t="n"/>
      <c r="B101" s="4" t="n"/>
      <c r="C101" s="15" t="n"/>
      <c r="D101" s="4" t="n"/>
    </row>
    <row r="102">
      <c r="A102" s="4" t="n"/>
      <c r="B102" s="4" t="n"/>
      <c r="C102" s="15" t="n"/>
      <c r="D102" s="4" t="n"/>
    </row>
    <row r="103">
      <c r="A103" s="4" t="n"/>
      <c r="B103" s="4" t="n"/>
      <c r="C103" s="15" t="n"/>
      <c r="D103" s="4" t="n"/>
    </row>
    <row r="104">
      <c r="A104" s="4" t="n"/>
      <c r="B104" s="4" t="n"/>
      <c r="C104" s="15" t="n"/>
      <c r="D104" s="4" t="n"/>
    </row>
    <row r="105">
      <c r="A105" s="4" t="n"/>
      <c r="B105" s="4" t="n"/>
      <c r="C105" s="15" t="n"/>
      <c r="D105" s="4" t="n"/>
    </row>
    <row r="106">
      <c r="A106" s="4" t="n"/>
      <c r="B106" s="4" t="n"/>
      <c r="C106" s="15" t="n"/>
      <c r="D106" s="4" t="n"/>
    </row>
    <row r="107">
      <c r="A107" s="4" t="n"/>
      <c r="B107" s="4" t="n"/>
      <c r="C107" s="15" t="n"/>
      <c r="D107" s="4" t="n"/>
    </row>
    <row r="108">
      <c r="A108" s="4" t="n"/>
      <c r="B108" s="4" t="n"/>
      <c r="C108" s="15" t="n"/>
      <c r="D108" s="4" t="n"/>
    </row>
    <row r="109">
      <c r="A109" s="4" t="n"/>
      <c r="B109" s="4" t="n"/>
      <c r="C109" s="15" t="n"/>
      <c r="D109" s="4" t="n"/>
    </row>
    <row r="110">
      <c r="A110" s="4" t="n"/>
      <c r="B110" s="4" t="n"/>
      <c r="C110" s="15" t="n"/>
      <c r="D110" s="4" t="n"/>
    </row>
    <row r="111">
      <c r="A111" s="4" t="n"/>
      <c r="B111" s="4" t="n"/>
      <c r="C111" s="15" t="n"/>
      <c r="D111" s="4" t="n"/>
    </row>
    <row r="112">
      <c r="A112" s="4" t="n"/>
      <c r="B112" s="4" t="n"/>
      <c r="C112" s="15" t="n"/>
      <c r="D112" s="4" t="n"/>
    </row>
    <row r="113">
      <c r="A113" s="4" t="n"/>
      <c r="B113" s="4" t="n"/>
      <c r="C113" s="15" t="n"/>
      <c r="D113" s="4" t="n"/>
    </row>
    <row r="114">
      <c r="A114" s="4" t="n"/>
      <c r="B114" s="4" t="n"/>
      <c r="C114" s="15" t="n"/>
      <c r="D114" s="4" t="n"/>
    </row>
    <row r="115">
      <c r="A115" s="4" t="n"/>
      <c r="B115" s="4" t="n"/>
      <c r="C115" s="15" t="n"/>
      <c r="D115" s="4" t="n"/>
    </row>
    <row r="116">
      <c r="A116" s="4" t="n"/>
      <c r="B116" s="4" t="n"/>
      <c r="C116" s="15" t="n"/>
      <c r="D116" s="4" t="n"/>
    </row>
    <row r="117">
      <c r="A117" s="4" t="n"/>
      <c r="B117" s="4" t="n"/>
      <c r="C117" s="15" t="n"/>
      <c r="D117" s="4" t="n"/>
    </row>
    <row r="118">
      <c r="A118" s="4" t="n"/>
      <c r="B118" s="4" t="n"/>
      <c r="C118" s="15" t="n"/>
      <c r="D118" s="4" t="n"/>
    </row>
    <row r="119">
      <c r="A119" s="4" t="n"/>
      <c r="B119" s="4" t="n"/>
      <c r="C119" s="15" t="n"/>
      <c r="D119" s="4" t="n"/>
    </row>
    <row r="120">
      <c r="A120" s="4" t="n"/>
      <c r="B120" s="4" t="n"/>
      <c r="C120" s="15" t="n"/>
      <c r="D120" s="4" t="n"/>
    </row>
    <row r="121">
      <c r="A121" s="4" t="n"/>
      <c r="B121" s="4" t="n"/>
      <c r="C121" s="15" t="n"/>
      <c r="D121" s="4" t="n"/>
    </row>
    <row r="122">
      <c r="A122" s="4" t="n"/>
      <c r="B122" s="4" t="n"/>
      <c r="C122" s="15" t="n"/>
      <c r="D122" s="4" t="n"/>
    </row>
    <row r="123">
      <c r="A123" s="4" t="n"/>
      <c r="B123" s="4" t="n"/>
      <c r="C123" s="15" t="n"/>
      <c r="D123" s="4" t="n"/>
    </row>
    <row r="124">
      <c r="A124" s="4" t="n"/>
      <c r="B124" s="4" t="n"/>
      <c r="C124" s="15" t="n"/>
      <c r="D124" s="4" t="n"/>
    </row>
    <row r="125">
      <c r="A125" s="4" t="n"/>
      <c r="B125" s="4" t="n"/>
      <c r="C125" s="15" t="n"/>
      <c r="D125" s="4" t="n"/>
    </row>
    <row r="126">
      <c r="A126" s="4" t="n"/>
      <c r="B126" s="4" t="n"/>
      <c r="C126" s="15" t="n"/>
      <c r="D126" s="4" t="n"/>
    </row>
    <row r="127">
      <c r="A127" s="4" t="n"/>
      <c r="B127" s="4" t="n"/>
      <c r="C127" s="15" t="n"/>
      <c r="D127" s="4" t="n"/>
    </row>
    <row r="128">
      <c r="A128" s="4" t="n"/>
      <c r="B128" s="4" t="n"/>
      <c r="C128" s="15" t="n"/>
      <c r="D128" s="4" t="n"/>
    </row>
    <row r="129">
      <c r="A129" s="4" t="n"/>
      <c r="B129" s="4" t="n"/>
      <c r="C129" s="15" t="n"/>
      <c r="D129" s="4" t="n"/>
    </row>
    <row r="130">
      <c r="A130" s="4" t="n"/>
      <c r="B130" s="4" t="n"/>
      <c r="C130" s="15" t="n"/>
      <c r="D130" s="4" t="n"/>
    </row>
    <row r="131">
      <c r="A131" s="4" t="n"/>
      <c r="B131" s="4" t="n"/>
      <c r="C131" s="15" t="n"/>
      <c r="D131" s="4" t="n"/>
    </row>
    <row r="132">
      <c r="A132" s="4" t="n"/>
      <c r="B132" s="4" t="n"/>
      <c r="C132" s="15" t="n"/>
      <c r="D132" s="4" t="n"/>
    </row>
    <row r="133">
      <c r="A133" s="4" t="n"/>
      <c r="B133" s="4" t="n"/>
      <c r="C133" s="15" t="n"/>
      <c r="D133" s="4" t="n"/>
    </row>
    <row r="134">
      <c r="A134" s="4" t="n"/>
      <c r="B134" s="4" t="n"/>
      <c r="C134" s="15" t="n"/>
      <c r="D134" s="4" t="n"/>
    </row>
    <row r="135">
      <c r="A135" s="4" t="n"/>
      <c r="B135" s="4" t="n"/>
      <c r="C135" s="15" t="n"/>
      <c r="D135" s="4" t="n"/>
    </row>
    <row r="136">
      <c r="A136" s="4" t="n"/>
      <c r="B136" s="4" t="n"/>
      <c r="C136" s="15" t="n"/>
      <c r="D136" s="4" t="n"/>
    </row>
    <row r="137">
      <c r="A137" s="4" t="n"/>
      <c r="B137" s="4" t="n"/>
      <c r="C137" s="15" t="n"/>
      <c r="D137" s="4" t="n"/>
    </row>
    <row r="138">
      <c r="A138" s="4" t="n"/>
      <c r="B138" s="4" t="n"/>
      <c r="C138" s="15" t="n"/>
      <c r="D138" s="4" t="n"/>
    </row>
    <row r="139">
      <c r="A139" s="4" t="n"/>
      <c r="B139" s="4" t="n"/>
      <c r="C139" s="15" t="n"/>
      <c r="D139" s="4" t="n"/>
    </row>
    <row r="140">
      <c r="A140" s="4" t="n"/>
      <c r="B140" s="4" t="n"/>
      <c r="C140" s="15" t="n"/>
      <c r="D140" s="4" t="n"/>
    </row>
    <row r="141">
      <c r="A141" s="4" t="n"/>
      <c r="B141" s="4" t="n"/>
      <c r="C141" s="15" t="n"/>
      <c r="D141" s="4" t="n"/>
    </row>
    <row r="142">
      <c r="A142" s="4" t="n"/>
      <c r="B142" s="4" t="n"/>
      <c r="C142" s="15" t="n"/>
      <c r="D142" s="4" t="n"/>
    </row>
    <row r="143">
      <c r="A143" s="4" t="n"/>
      <c r="B143" s="4" t="n"/>
      <c r="C143" s="15" t="n"/>
      <c r="D143" s="4" t="n"/>
    </row>
    <row r="144">
      <c r="A144" s="4" t="n"/>
      <c r="B144" s="4" t="n"/>
      <c r="C144" s="15" t="n"/>
      <c r="D144" s="4" t="n"/>
    </row>
    <row r="145">
      <c r="A145" s="4" t="n"/>
      <c r="B145" s="4" t="n"/>
      <c r="C145" s="15" t="n"/>
      <c r="D145" s="4" t="n"/>
    </row>
    <row r="146">
      <c r="A146" s="4" t="n"/>
      <c r="B146" s="4" t="n"/>
      <c r="C146" s="15" t="n"/>
      <c r="D146" s="4" t="n"/>
    </row>
    <row r="147">
      <c r="A147" s="4" t="n"/>
      <c r="B147" s="4" t="n"/>
      <c r="C147" s="15" t="n"/>
      <c r="D147" s="4" t="n"/>
    </row>
    <row r="148">
      <c r="A148" s="4" t="n"/>
      <c r="B148" s="4" t="n"/>
      <c r="C148" s="15" t="n"/>
      <c r="D148" s="4" t="n"/>
    </row>
    <row r="149">
      <c r="A149" s="4" t="n"/>
      <c r="B149" s="4" t="n"/>
      <c r="C149" s="15" t="n"/>
      <c r="D149" s="4" t="n"/>
    </row>
    <row r="150">
      <c r="A150" s="4" t="n"/>
      <c r="B150" s="4" t="n"/>
      <c r="C150" s="15" t="n"/>
      <c r="D150" s="4" t="n"/>
    </row>
    <row r="151">
      <c r="A151" s="4" t="n"/>
      <c r="B151" s="4" t="n"/>
      <c r="C151" s="15" t="n"/>
      <c r="D151" s="4" t="n"/>
    </row>
    <row r="152">
      <c r="A152" s="4" t="n"/>
      <c r="B152" s="4" t="n"/>
      <c r="C152" s="15" t="n"/>
      <c r="D152" s="4" t="n"/>
    </row>
    <row r="153">
      <c r="A153" s="4" t="n"/>
      <c r="B153" s="4" t="n"/>
      <c r="C153" s="15" t="n"/>
      <c r="D153" s="4" t="n"/>
    </row>
    <row r="154">
      <c r="A154" s="4" t="n"/>
      <c r="B154" s="4" t="n"/>
      <c r="C154" s="15" t="n"/>
      <c r="D154" s="4" t="n"/>
    </row>
    <row r="155">
      <c r="A155" s="4" t="n"/>
      <c r="B155" s="4" t="n"/>
      <c r="C155" s="15" t="n"/>
      <c r="D155" s="4" t="n"/>
    </row>
    <row r="156">
      <c r="A156" s="4" t="n"/>
      <c r="B156" s="4" t="n"/>
      <c r="C156" s="15" t="n"/>
      <c r="D156" s="4" t="n"/>
    </row>
    <row r="157">
      <c r="A157" s="4" t="n"/>
      <c r="B157" s="4" t="n"/>
      <c r="C157" s="15" t="n"/>
      <c r="D157" s="4" t="n"/>
    </row>
    <row r="158">
      <c r="A158" s="4" t="n"/>
      <c r="B158" s="4" t="n"/>
      <c r="C158" s="15" t="n"/>
      <c r="D158" s="4" t="n"/>
    </row>
    <row r="159">
      <c r="A159" s="4" t="n"/>
      <c r="B159" s="4" t="n"/>
      <c r="C159" s="15" t="n"/>
      <c r="D159" s="4" t="n"/>
    </row>
    <row r="160">
      <c r="A160" s="4" t="n"/>
      <c r="B160" s="4" t="n"/>
      <c r="C160" s="15" t="n"/>
      <c r="D160" s="4" t="n"/>
    </row>
    <row r="161">
      <c r="A161" s="4" t="n"/>
      <c r="B161" s="4" t="n"/>
      <c r="C161" s="15" t="n"/>
      <c r="D161" s="4" t="n"/>
    </row>
    <row r="162">
      <c r="A162" s="4" t="n"/>
      <c r="B162" s="4" t="n"/>
      <c r="C162" s="15" t="n"/>
      <c r="D162" s="4" t="n"/>
    </row>
    <row r="163">
      <c r="A163" s="4" t="n"/>
      <c r="B163" s="4" t="n"/>
      <c r="C163" s="15" t="n"/>
      <c r="D163" s="4" t="n"/>
    </row>
    <row r="164">
      <c r="A164" s="4" t="n"/>
      <c r="B164" s="4" t="n"/>
      <c r="C164" s="15" t="n"/>
      <c r="D164" s="4" t="n"/>
    </row>
    <row r="165">
      <c r="A165" s="4" t="n"/>
      <c r="B165" s="4" t="n"/>
      <c r="C165" s="15" t="n"/>
      <c r="D165" s="4" t="n"/>
    </row>
    <row r="166">
      <c r="A166" s="4" t="n"/>
      <c r="B166" s="4" t="n"/>
      <c r="C166" s="15" t="n"/>
      <c r="D166" s="4" t="n"/>
    </row>
    <row r="167">
      <c r="A167" s="4" t="n"/>
      <c r="B167" s="4" t="n"/>
      <c r="C167" s="15" t="n"/>
      <c r="D167" s="4" t="n"/>
    </row>
    <row r="168">
      <c r="A168" s="4" t="n"/>
      <c r="B168" s="4" t="n"/>
      <c r="C168" s="15" t="n"/>
      <c r="D168" s="4" t="n"/>
    </row>
    <row r="169">
      <c r="A169" s="4" t="n"/>
      <c r="B169" s="4" t="n"/>
      <c r="C169" s="15" t="n"/>
      <c r="D169" s="4" t="n"/>
    </row>
    <row r="170">
      <c r="A170" s="4" t="n"/>
      <c r="B170" s="4" t="n"/>
      <c r="C170" s="15" t="n"/>
      <c r="D170" s="4" t="n"/>
    </row>
    <row r="171">
      <c r="A171" s="4" t="n"/>
      <c r="B171" s="4" t="n"/>
      <c r="C171" s="15" t="n"/>
      <c r="D171" s="4" t="n"/>
    </row>
    <row r="172">
      <c r="A172" s="4" t="n"/>
      <c r="B172" s="4" t="n"/>
      <c r="C172" s="15" t="n"/>
      <c r="D172" s="4" t="n"/>
    </row>
    <row r="173">
      <c r="A173" s="4" t="n"/>
      <c r="B173" s="4" t="n"/>
      <c r="C173" s="15" t="n"/>
      <c r="D173" s="4" t="n"/>
    </row>
    <row r="174">
      <c r="A174" s="4" t="n"/>
      <c r="B174" s="4" t="n"/>
      <c r="C174" s="15" t="n"/>
      <c r="D174" s="4" t="n"/>
    </row>
    <row r="175">
      <c r="A175" s="4" t="n"/>
      <c r="B175" s="4" t="n"/>
      <c r="C175" s="15" t="n"/>
      <c r="D175" s="4" t="n"/>
    </row>
    <row r="176">
      <c r="A176" s="4" t="n"/>
      <c r="B176" s="4" t="n"/>
      <c r="C176" s="15" t="n"/>
      <c r="D176" s="4" t="n"/>
    </row>
    <row r="177">
      <c r="A177" s="4" t="n"/>
      <c r="B177" s="4" t="n"/>
      <c r="C177" s="15" t="n"/>
      <c r="D177" s="4" t="n"/>
    </row>
    <row r="178">
      <c r="A178" s="4" t="n"/>
      <c r="B178" s="4" t="n"/>
      <c r="C178" s="15" t="n"/>
      <c r="D178" s="4" t="n"/>
    </row>
    <row r="179">
      <c r="A179" s="4" t="n"/>
      <c r="B179" s="4" t="n"/>
      <c r="C179" s="15" t="n"/>
      <c r="D179" s="4" t="n"/>
    </row>
    <row r="180">
      <c r="A180" s="4" t="n"/>
      <c r="B180" s="4" t="n"/>
      <c r="C180" s="15" t="n"/>
      <c r="D180" s="4" t="n"/>
    </row>
    <row r="181">
      <c r="A181" s="4" t="n"/>
      <c r="B181" s="4" t="n"/>
      <c r="C181" s="15" t="n"/>
      <c r="D181" s="4" t="n"/>
    </row>
    <row r="182">
      <c r="A182" s="4" t="n"/>
      <c r="B182" s="4" t="n"/>
      <c r="C182" s="15" t="n"/>
      <c r="D182" s="4" t="n"/>
    </row>
    <row r="183">
      <c r="A183" s="4" t="n"/>
      <c r="B183" s="4" t="n"/>
      <c r="C183" s="15" t="n"/>
      <c r="D183" s="4" t="n"/>
    </row>
    <row r="184">
      <c r="A184" s="4" t="n"/>
      <c r="B184" s="4" t="n"/>
      <c r="C184" s="15" t="n"/>
      <c r="D184" s="4" t="n"/>
    </row>
    <row r="185">
      <c r="A185" s="4" t="n"/>
      <c r="B185" s="4" t="n"/>
      <c r="C185" s="15" t="n"/>
      <c r="D185" s="4" t="n"/>
    </row>
    <row r="186">
      <c r="A186" s="4" t="n"/>
      <c r="B186" s="4" t="n"/>
      <c r="C186" s="15" t="n"/>
      <c r="D186" s="4" t="n"/>
    </row>
    <row r="187">
      <c r="A187" s="4" t="n"/>
      <c r="B187" s="4" t="n"/>
      <c r="C187" s="15" t="n"/>
      <c r="D187" s="4" t="n"/>
    </row>
    <row r="188">
      <c r="A188" s="4" t="n"/>
      <c r="B188" s="4" t="n"/>
      <c r="C188" s="15" t="n"/>
      <c r="D188" s="4" t="n"/>
    </row>
    <row r="189">
      <c r="A189" s="4" t="n"/>
      <c r="B189" s="4" t="n"/>
      <c r="C189" s="15" t="n"/>
      <c r="D189" s="4" t="n"/>
    </row>
    <row r="190">
      <c r="A190" s="4" t="n"/>
      <c r="B190" s="4" t="n"/>
      <c r="C190" s="15" t="n"/>
      <c r="D190" s="4" t="n"/>
    </row>
    <row r="191">
      <c r="A191" s="4" t="n"/>
      <c r="B191" s="4" t="n"/>
      <c r="C191" s="15" t="n"/>
      <c r="D191" s="4" t="n"/>
    </row>
    <row r="192">
      <c r="A192" s="4" t="n"/>
      <c r="B192" s="4" t="n"/>
      <c r="C192" s="15" t="n"/>
      <c r="D192" s="4" t="n"/>
    </row>
    <row r="193">
      <c r="A193" s="4" t="n"/>
      <c r="B193" s="4" t="n"/>
      <c r="C193" s="15" t="n"/>
      <c r="D193" s="4" t="n"/>
    </row>
    <row r="194">
      <c r="A194" s="4" t="n"/>
      <c r="B194" s="4" t="n"/>
      <c r="C194" s="15" t="n"/>
      <c r="D194" s="4" t="n"/>
    </row>
    <row r="195">
      <c r="A195" s="4" t="n"/>
      <c r="B195" s="4" t="n"/>
      <c r="C195" s="15" t="n"/>
      <c r="D195" s="4" t="n"/>
    </row>
    <row r="196">
      <c r="A196" s="4" t="n"/>
      <c r="B196" s="4" t="n"/>
      <c r="C196" s="15" t="n"/>
      <c r="D196" s="4" t="n"/>
    </row>
    <row r="197">
      <c r="A197" s="4" t="n"/>
      <c r="B197" s="4" t="n"/>
      <c r="C197" s="15" t="n"/>
      <c r="D197" s="4" t="n"/>
    </row>
    <row r="198">
      <c r="A198" s="4" t="n"/>
      <c r="B198" s="4" t="n"/>
      <c r="C198" s="15" t="n"/>
      <c r="D198" s="4" t="n"/>
    </row>
    <row r="199">
      <c r="A199" s="4" t="n"/>
      <c r="B199" s="4" t="n"/>
      <c r="C199" s="15" t="n"/>
      <c r="D199" s="4" t="n"/>
    </row>
    <row r="200">
      <c r="A200" s="4" t="n"/>
      <c r="B200" s="4" t="n"/>
      <c r="C200" s="15" t="n"/>
      <c r="D200" s="4" t="n"/>
    </row>
    <row r="201">
      <c r="A201" s="4" t="n"/>
      <c r="B201" s="4" t="n"/>
      <c r="C201" s="15" t="n"/>
      <c r="D201" s="4" t="n"/>
    </row>
  </sheetData>
  <conditionalFormatting sqref="A2:D201">
    <cfRule type="expression" priority="1" dxfId="3">
      <formula>TRUE</formula>
    </cfRule>
  </conditionalFormatting>
  <dataValidations count="1">
    <dataValidation sqref="B2:B201 D2:D201" showDropDown="0" showInputMessage="0" showErrorMessage="0" allowBlank="1" type="list">
      <formula1>=Players!$A$2:$A$26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8" customWidth="1" min="5" max="5"/>
    <col width="8" customWidth="1" min="6" max="6"/>
    <col width="16" customWidth="1" min="7" max="7"/>
    <col width="16" customWidth="1" min="8" max="8"/>
    <col width="9" customWidth="1" min="9" max="9"/>
    <col width="16" customWidth="1" min="10" max="10"/>
    <col width="16" customWidth="1" min="11" max="11"/>
    <col width="11" customWidth="1" min="12" max="12"/>
    <col width="16" customWidth="1" min="13" max="13"/>
    <col hidden="1" outlineLevel="1" width="10" customWidth="1" min="14" max="14"/>
  </cols>
  <sheetData>
    <row r="1">
      <c r="A1" s="8" t="inlineStr">
        <is>
          <t>Stage</t>
        </is>
      </c>
      <c r="B1" s="8" t="inlineStr">
        <is>
          <t>Round</t>
        </is>
      </c>
      <c r="C1" s="8" t="inlineStr">
        <is>
          <t>Player 1</t>
        </is>
      </c>
      <c r="D1" s="8" t="inlineStr">
        <is>
          <t>Team 1</t>
        </is>
      </c>
      <c r="E1" s="8" t="inlineStr">
        <is>
          <t>Goals 1</t>
        </is>
      </c>
      <c r="F1" s="8" t="inlineStr">
        <is>
          <t>Goals 2</t>
        </is>
      </c>
      <c r="G1" s="8" t="inlineStr">
        <is>
          <t>Team 2</t>
        </is>
      </c>
      <c r="H1" s="8" t="inlineStr">
        <is>
          <t>Player 2</t>
        </is>
      </c>
      <c r="I1" s="8" t="inlineStr">
        <is>
          <t>Status</t>
        </is>
      </c>
      <c r="J1" s="8" t="inlineStr">
        <is>
          <t>Won on penalties</t>
        </is>
      </c>
      <c r="K1" s="8" t="inlineStr">
        <is>
          <t>Winner</t>
        </is>
      </c>
      <c r="L1" s="8" t="inlineStr">
        <is>
          <t>Group</t>
        </is>
      </c>
      <c r="M1" s="8" t="inlineStr">
        <is>
          <t>Recorded by</t>
        </is>
      </c>
      <c r="N1" s="8" t="inlineStr">
        <is>
          <t>Live order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>
        <f>IF(OR(C2="",H2="",I2&lt;&gt;"Final"),"",IF(N(E2)&gt;N(F2),C2,IF(N(F2)&gt;N(E2),H2,IF(J2&lt;&gt;"",J2,"Draw"))))</f>
        <v/>
      </c>
      <c r="L2" s="4">
        <f>IFERROR(IF(VLOOKUP(C2,Players!$A$2:$B$26,2,0)=VLOOKUP(H2,Players!$A$2:$B$26,2,0),VLOOKUP(C2,Players!$A$2:$B$26,2,0)&amp;"",""),"")</f>
        <v/>
      </c>
      <c r="M2" s="4" t="n"/>
      <c r="N2" s="4">
        <f>IF(I2="Live",ROW(),"")</f>
        <v/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>
        <f>IF(OR(C3="",H3="",I3&lt;&gt;"Final"),"",IF(N(E3)&gt;N(F3),C3,IF(N(F3)&gt;N(E3),H3,IF(J3&lt;&gt;"",J3,"Draw"))))</f>
        <v/>
      </c>
      <c r="L3" s="4">
        <f>IFERROR(IF(VLOOKUP(C3,Players!$A$2:$B$26,2,0)=VLOOKUP(H3,Players!$A$2:$B$26,2,0),VLOOKUP(C3,Players!$A$2:$B$26,2,0)&amp;"",""),"")</f>
        <v/>
      </c>
      <c r="M3" s="4" t="n"/>
      <c r="N3" s="4">
        <f>IF(I3="Live",ROW(),"")</f>
        <v/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>
        <f>IF(OR(C4="",H4="",I4&lt;&gt;"Final"),"",IF(N(E4)&gt;N(F4),C4,IF(N(F4)&gt;N(E4),H4,IF(J4&lt;&gt;"",J4,"Draw"))))</f>
        <v/>
      </c>
      <c r="L4" s="4">
        <f>IFERROR(IF(VLOOKUP(C4,Players!$A$2:$B$26,2,0)=VLOOKUP(H4,Players!$A$2:$B$26,2,0),VLOOKUP(C4,Players!$A$2:$B$26,2,0)&amp;"",""),"")</f>
        <v/>
      </c>
      <c r="M4" s="4" t="n"/>
      <c r="N4" s="4">
        <f>IF(I4="Live",ROW(),"")</f>
        <v/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>
        <f>IF(OR(C5="",H5="",I5&lt;&gt;"Final"),"",IF(N(E5)&gt;N(F5),C5,IF(N(F5)&gt;N(E5),H5,IF(J5&lt;&gt;"",J5,"Draw"))))</f>
        <v/>
      </c>
      <c r="L5" s="4">
        <f>IFERROR(IF(VLOOKUP(C5,Players!$A$2:$B$26,2,0)=VLOOKUP(H5,Players!$A$2:$B$26,2,0),VLOOKUP(C5,Players!$A$2:$B$26,2,0)&amp;"",""),"")</f>
        <v/>
      </c>
      <c r="M5" s="4" t="n"/>
      <c r="N5" s="4">
        <f>IF(I5="Live",ROW(),"")</f>
        <v/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>
        <f>IF(OR(C6="",H6="",I6&lt;&gt;"Final"),"",IF(N(E6)&gt;N(F6),C6,IF(N(F6)&gt;N(E6),H6,IF(J6&lt;&gt;"",J6,"Draw"))))</f>
        <v/>
      </c>
      <c r="L6" s="4">
        <f>IFERROR(IF(VLOOKUP(C6,Players!$A$2:$B$26,2,0)=VLOOKUP(H6,Players!$A$2:$B$26,2,0),VLOOKUP(C6,Players!$A$2:$B$26,2,0)&amp;"",""),"")</f>
        <v/>
      </c>
      <c r="M6" s="4" t="n"/>
      <c r="N6" s="4">
        <f>IF(I6="Live",ROW(),"")</f>
        <v/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>
        <f>IF(OR(C7="",H7="",I7&lt;&gt;"Final"),"",IF(N(E7)&gt;N(F7),C7,IF(N(F7)&gt;N(E7),H7,IF(J7&lt;&gt;"",J7,"Draw"))))</f>
        <v/>
      </c>
      <c r="L7" s="4">
        <f>IFERROR(IF(VLOOKUP(C7,Players!$A$2:$B$26,2,0)=VLOOKUP(H7,Players!$A$2:$B$26,2,0),VLOOKUP(C7,Players!$A$2:$B$26,2,0)&amp;"",""),"")</f>
        <v/>
      </c>
      <c r="M7" s="4" t="n"/>
      <c r="N7" s="4">
        <f>IF(I7="Live",ROW(),"")</f>
        <v/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>
        <f>IF(OR(C8="",H8="",I8&lt;&gt;"Final"),"",IF(N(E8)&gt;N(F8),C8,IF(N(F8)&gt;N(E8),H8,IF(J8&lt;&gt;"",J8,"Draw"))))</f>
        <v/>
      </c>
      <c r="L8" s="4">
        <f>IFERROR(IF(VLOOKUP(C8,Players!$A$2:$B$26,2,0)=VLOOKUP(H8,Players!$A$2:$B$26,2,0),VLOOKUP(C8,Players!$A$2:$B$26,2,0)&amp;"",""),"")</f>
        <v/>
      </c>
      <c r="M8" s="4" t="n"/>
      <c r="N8" s="4">
        <f>IF(I8="Live",ROW(),"")</f>
        <v/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>
        <f>IF(OR(C9="",H9="",I9&lt;&gt;"Final"),"",IF(N(E9)&gt;N(F9),C9,IF(N(F9)&gt;N(E9),H9,IF(J9&lt;&gt;"",J9,"Draw"))))</f>
        <v/>
      </c>
      <c r="L9" s="4">
        <f>IFERROR(IF(VLOOKUP(C9,Players!$A$2:$B$26,2,0)=VLOOKUP(H9,Players!$A$2:$B$26,2,0),VLOOKUP(C9,Players!$A$2:$B$26,2,0)&amp;"",""),"")</f>
        <v/>
      </c>
      <c r="M9" s="4" t="n"/>
      <c r="N9" s="4">
        <f>IF(I9="Live",ROW(),"")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>
        <f>IF(OR(C10="",H10="",I10&lt;&gt;"Final"),"",IF(N(E10)&gt;N(F10),C10,IF(N(F10)&gt;N(E10),H10,IF(J10&lt;&gt;"",J10,"Draw"))))</f>
        <v/>
      </c>
      <c r="L10" s="4">
        <f>IFERROR(IF(VLOOKUP(C10,Players!$A$2:$B$26,2,0)=VLOOKUP(H10,Players!$A$2:$B$26,2,0),VLOOKUP(C10,Players!$A$2:$B$26,2,0)&amp;"",""),"")</f>
        <v/>
      </c>
      <c r="M10" s="4" t="n"/>
      <c r="N10" s="4">
        <f>IF(I10="Live",ROW(),"")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>
        <f>IF(OR(C11="",H11="",I11&lt;&gt;"Final"),"",IF(N(E11)&gt;N(F11),C11,IF(N(F11)&gt;N(E11),H11,IF(J11&lt;&gt;"",J11,"Draw"))))</f>
        <v/>
      </c>
      <c r="L11" s="4">
        <f>IFERROR(IF(VLOOKUP(C11,Players!$A$2:$B$26,2,0)=VLOOKUP(H11,Players!$A$2:$B$26,2,0),VLOOKUP(C11,Players!$A$2:$B$26,2,0)&amp;"",""),"")</f>
        <v/>
      </c>
      <c r="M11" s="4" t="n"/>
      <c r="N11" s="4">
        <f>IF(I11="Live",ROW(),"")</f>
        <v/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>
        <f>IF(OR(C12="",H12="",I12&lt;&gt;"Final"),"",IF(N(E12)&gt;N(F12),C12,IF(N(F12)&gt;N(E12),H12,IF(J12&lt;&gt;"",J12,"Draw"))))</f>
        <v/>
      </c>
      <c r="L12" s="4">
        <f>IFERROR(IF(VLOOKUP(C12,Players!$A$2:$B$26,2,0)=VLOOKUP(H12,Players!$A$2:$B$26,2,0),VLOOKUP(C12,Players!$A$2:$B$26,2,0)&amp;"",""),"")</f>
        <v/>
      </c>
      <c r="M12" s="4" t="n"/>
      <c r="N12" s="4">
        <f>IF(I12="Live",ROW(),"")</f>
        <v/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>
        <f>IF(OR(C13="",H13="",I13&lt;&gt;"Final"),"",IF(N(E13)&gt;N(F13),C13,IF(N(F13)&gt;N(E13),H13,IF(J13&lt;&gt;"",J13,"Draw"))))</f>
        <v/>
      </c>
      <c r="L13" s="4">
        <f>IFERROR(IF(VLOOKUP(C13,Players!$A$2:$B$26,2,0)=VLOOKUP(H13,Players!$A$2:$B$26,2,0),VLOOKUP(C13,Players!$A$2:$B$26,2,0)&amp;"",""),"")</f>
        <v/>
      </c>
      <c r="M13" s="4" t="n"/>
      <c r="N13" s="4">
        <f>IF(I13="Live",ROW(),"")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>
        <f>IF(OR(C14="",H14="",I14&lt;&gt;"Final"),"",IF(N(E14)&gt;N(F14),C14,IF(N(F14)&gt;N(E14),H14,IF(J14&lt;&gt;"",J14,"Draw"))))</f>
        <v/>
      </c>
      <c r="L14" s="4">
        <f>IFERROR(IF(VLOOKUP(C14,Players!$A$2:$B$26,2,0)=VLOOKUP(H14,Players!$A$2:$B$26,2,0),VLOOKUP(C14,Players!$A$2:$B$26,2,0)&amp;"",""),"")</f>
        <v/>
      </c>
      <c r="M14" s="4" t="n"/>
      <c r="N14" s="4">
        <f>IF(I14="Live",ROW(),"")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>
        <f>IF(OR(C15="",H15="",I15&lt;&gt;"Final"),"",IF(N(E15)&gt;N(F15),C15,IF(N(F15)&gt;N(E15),H15,IF(J15&lt;&gt;"",J15,"Draw"))))</f>
        <v/>
      </c>
      <c r="L15" s="4">
        <f>IFERROR(IF(VLOOKUP(C15,Players!$A$2:$B$26,2,0)=VLOOKUP(H15,Players!$A$2:$B$26,2,0),VLOOKUP(C15,Players!$A$2:$B$26,2,0)&amp;"",""),"")</f>
        <v/>
      </c>
      <c r="M15" s="4" t="n"/>
      <c r="N15" s="4">
        <f>IF(I15="Live",ROW(),"")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>
        <f>IF(OR(C16="",H16="",I16&lt;&gt;"Final"),"",IF(N(E16)&gt;N(F16),C16,IF(N(F16)&gt;N(E16),H16,IF(J16&lt;&gt;"",J16,"Draw"))))</f>
        <v/>
      </c>
      <c r="L16" s="4">
        <f>IFERROR(IF(VLOOKUP(C16,Players!$A$2:$B$26,2,0)=VLOOKUP(H16,Players!$A$2:$B$26,2,0),VLOOKUP(C16,Players!$A$2:$B$26,2,0)&amp;"",""),"")</f>
        <v/>
      </c>
      <c r="M16" s="4" t="n"/>
      <c r="N16" s="4">
        <f>IF(I16="Live",ROW(),"")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>
        <f>IF(OR(C17="",H17="",I17&lt;&gt;"Final"),"",IF(N(E17)&gt;N(F17),C17,IF(N(F17)&gt;N(E17),H17,IF(J17&lt;&gt;"",J17,"Draw"))))</f>
        <v/>
      </c>
      <c r="L17" s="4">
        <f>IFERROR(IF(VLOOKUP(C17,Players!$A$2:$B$26,2,0)=VLOOKUP(H17,Players!$A$2:$B$26,2,0),VLOOKUP(C17,Players!$A$2:$B$26,2,0)&amp;"",""),"")</f>
        <v/>
      </c>
      <c r="M17" s="4" t="n"/>
      <c r="N17" s="4">
        <f>IF(I17="Live",ROW(),"")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>
        <f>IF(OR(C18="",H18="",I18&lt;&gt;"Final"),"",IF(N(E18)&gt;N(F18),C18,IF(N(F18)&gt;N(E18),H18,IF(J18&lt;&gt;"",J18,"Draw"))))</f>
        <v/>
      </c>
      <c r="L18" s="4">
        <f>IFERROR(IF(VLOOKUP(C18,Players!$A$2:$B$26,2,0)=VLOOKUP(H18,Players!$A$2:$B$26,2,0),VLOOKUP(C18,Players!$A$2:$B$26,2,0)&amp;"",""),"")</f>
        <v/>
      </c>
      <c r="M18" s="4" t="n"/>
      <c r="N18" s="4">
        <f>IF(I18="Live",ROW(),"")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>
        <f>IF(OR(C19="",H19="",I19&lt;&gt;"Final"),"",IF(N(E19)&gt;N(F19),C19,IF(N(F19)&gt;N(E19),H19,IF(J19&lt;&gt;"",J19,"Draw"))))</f>
        <v/>
      </c>
      <c r="L19" s="4">
        <f>IFERROR(IF(VLOOKUP(C19,Players!$A$2:$B$26,2,0)=VLOOKUP(H19,Players!$A$2:$B$26,2,0),VLOOKUP(C19,Players!$A$2:$B$26,2,0)&amp;"",""),"")</f>
        <v/>
      </c>
      <c r="M19" s="4" t="n"/>
      <c r="N19" s="4">
        <f>IF(I19="Live",ROW(),"")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>
        <f>IF(OR(C20="",H20="",I20&lt;&gt;"Final"),"",IF(N(E20)&gt;N(F20),C20,IF(N(F20)&gt;N(E20),H20,IF(J20&lt;&gt;"",J20,"Draw"))))</f>
        <v/>
      </c>
      <c r="L20" s="4">
        <f>IFERROR(IF(VLOOKUP(C20,Players!$A$2:$B$26,2,0)=VLOOKUP(H20,Players!$A$2:$B$26,2,0),VLOOKUP(C20,Players!$A$2:$B$26,2,0)&amp;"",""),"")</f>
        <v/>
      </c>
      <c r="M20" s="4" t="n"/>
      <c r="N20" s="4">
        <f>IF(I20="Live",ROW(),"")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>
        <f>IF(OR(C21="",H21="",I21&lt;&gt;"Final"),"",IF(N(E21)&gt;N(F21),C21,IF(N(F21)&gt;N(E21),H21,IF(J21&lt;&gt;"",J21,"Draw"))))</f>
        <v/>
      </c>
      <c r="L21" s="4">
        <f>IFERROR(IF(VLOOKUP(C21,Players!$A$2:$B$26,2,0)=VLOOKUP(H21,Players!$A$2:$B$26,2,0),VLOOKUP(C21,Players!$A$2:$B$26,2,0)&amp;"",""),"")</f>
        <v/>
      </c>
      <c r="M21" s="4" t="n"/>
      <c r="N21" s="4">
        <f>IF(I21="Live",ROW(),"")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>
        <f>IF(OR(C22="",H22="",I22&lt;&gt;"Final"),"",IF(N(E22)&gt;N(F22),C22,IF(N(F22)&gt;N(E22),H22,IF(J22&lt;&gt;"",J22,"Draw"))))</f>
        <v/>
      </c>
      <c r="L22" s="4">
        <f>IFERROR(IF(VLOOKUP(C22,Players!$A$2:$B$26,2,0)=VLOOKUP(H22,Players!$A$2:$B$26,2,0),VLOOKUP(C22,Players!$A$2:$B$26,2,0)&amp;"",""),"")</f>
        <v/>
      </c>
      <c r="M22" s="4" t="n"/>
      <c r="N22" s="4">
        <f>IF(I22="Live",ROW(),"")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>
        <f>IF(OR(C23="",H23="",I23&lt;&gt;"Final"),"",IF(N(E23)&gt;N(F23),C23,IF(N(F23)&gt;N(E23),H23,IF(J23&lt;&gt;"",J23,"Draw"))))</f>
        <v/>
      </c>
      <c r="L23" s="4">
        <f>IFERROR(IF(VLOOKUP(C23,Players!$A$2:$B$26,2,0)=VLOOKUP(H23,Players!$A$2:$B$26,2,0),VLOOKUP(C23,Players!$A$2:$B$26,2,0)&amp;"",""),"")</f>
        <v/>
      </c>
      <c r="M23" s="4" t="n"/>
      <c r="N23" s="4">
        <f>IF(I23="Live",ROW(),"")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>
        <f>IF(OR(C24="",H24="",I24&lt;&gt;"Final"),"",IF(N(E24)&gt;N(F24),C24,IF(N(F24)&gt;N(E24),H24,IF(J24&lt;&gt;"",J24,"Draw"))))</f>
        <v/>
      </c>
      <c r="L24" s="4">
        <f>IFERROR(IF(VLOOKUP(C24,Players!$A$2:$B$26,2,0)=VLOOKUP(H24,Players!$A$2:$B$26,2,0),VLOOKUP(C24,Players!$A$2:$B$26,2,0)&amp;"",""),"")</f>
        <v/>
      </c>
      <c r="M24" s="4" t="n"/>
      <c r="N24" s="4">
        <f>IF(I24="Live",ROW(),"")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>
        <f>IF(OR(C25="",H25="",I25&lt;&gt;"Final"),"",IF(N(E25)&gt;N(F25),C25,IF(N(F25)&gt;N(E25),H25,IF(J25&lt;&gt;"",J25,"Draw"))))</f>
        <v/>
      </c>
      <c r="L25" s="4">
        <f>IFERROR(IF(VLOOKUP(C25,Players!$A$2:$B$26,2,0)=VLOOKUP(H25,Players!$A$2:$B$26,2,0),VLOOKUP(C25,Players!$A$2:$B$26,2,0)&amp;"",""),"")</f>
        <v/>
      </c>
      <c r="M25" s="4" t="n"/>
      <c r="N25" s="4">
        <f>IF(I25="Live",ROW(),"")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>
        <f>IF(OR(C26="",H26="",I26&lt;&gt;"Final"),"",IF(N(E26)&gt;N(F26),C26,IF(N(F26)&gt;N(E26),H26,IF(J26&lt;&gt;"",J26,"Draw"))))</f>
        <v/>
      </c>
      <c r="L26" s="4">
        <f>IFERROR(IF(VLOOKUP(C26,Players!$A$2:$B$26,2,0)=VLOOKUP(H26,Players!$A$2:$B$26,2,0),VLOOKUP(C26,Players!$A$2:$B$26,2,0)&amp;"",""),"")</f>
        <v/>
      </c>
      <c r="M26" s="4" t="n"/>
      <c r="N26" s="4">
        <f>IF(I26="Live",ROW(),"")</f>
        <v/>
      </c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>
        <f>IF(OR(C27="",H27="",I27&lt;&gt;"Final"),"",IF(N(E27)&gt;N(F27),C27,IF(N(F27)&gt;N(E27),H27,IF(J27&lt;&gt;"",J27,"Draw"))))</f>
        <v/>
      </c>
      <c r="L27" s="4">
        <f>IFERROR(IF(VLOOKUP(C27,Players!$A$2:$B$26,2,0)=VLOOKUP(H27,Players!$A$2:$B$26,2,0),VLOOKUP(C27,Players!$A$2:$B$26,2,0)&amp;"",""),"")</f>
        <v/>
      </c>
      <c r="M27" s="4" t="n"/>
      <c r="N27" s="4">
        <f>IF(I27="Live",ROW(),"")</f>
        <v/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>
        <f>IF(OR(C28="",H28="",I28&lt;&gt;"Final"),"",IF(N(E28)&gt;N(F28),C28,IF(N(F28)&gt;N(E28),H28,IF(J28&lt;&gt;"",J28,"Draw"))))</f>
        <v/>
      </c>
      <c r="L28" s="4">
        <f>IFERROR(IF(VLOOKUP(C28,Players!$A$2:$B$26,2,0)=VLOOKUP(H28,Players!$A$2:$B$26,2,0),VLOOKUP(C28,Players!$A$2:$B$26,2,0)&amp;"",""),"")</f>
        <v/>
      </c>
      <c r="M28" s="4" t="n"/>
      <c r="N28" s="4">
        <f>IF(I28="Live",ROW(),"")</f>
        <v/>
      </c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>
        <f>IF(OR(C29="",H29="",I29&lt;&gt;"Final"),"",IF(N(E29)&gt;N(F29),C29,IF(N(F29)&gt;N(E29),H29,IF(J29&lt;&gt;"",J29,"Draw"))))</f>
        <v/>
      </c>
      <c r="L29" s="4">
        <f>IFERROR(IF(VLOOKUP(C29,Players!$A$2:$B$26,2,0)=VLOOKUP(H29,Players!$A$2:$B$26,2,0),VLOOKUP(C29,Players!$A$2:$B$26,2,0)&amp;"",""),"")</f>
        <v/>
      </c>
      <c r="M29" s="4" t="n"/>
      <c r="N29" s="4">
        <f>IF(I29="Live",ROW(),"")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>
        <f>IF(OR(C30="",H30="",I30&lt;&gt;"Final"),"",IF(N(E30)&gt;N(F30),C30,IF(N(F30)&gt;N(E30),H30,IF(J30&lt;&gt;"",J30,"Draw"))))</f>
        <v/>
      </c>
      <c r="L30" s="4">
        <f>IFERROR(IF(VLOOKUP(C30,Players!$A$2:$B$26,2,0)=VLOOKUP(H30,Players!$A$2:$B$26,2,0),VLOOKUP(C30,Players!$A$2:$B$26,2,0)&amp;"",""),"")</f>
        <v/>
      </c>
      <c r="M30" s="4" t="n"/>
      <c r="N30" s="4">
        <f>IF(I30="Live",ROW(),"")</f>
        <v/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>
        <f>IF(OR(C31="",H31="",I31&lt;&gt;"Final"),"",IF(N(E31)&gt;N(F31),C31,IF(N(F31)&gt;N(E31),H31,IF(J31&lt;&gt;"",J31,"Draw"))))</f>
        <v/>
      </c>
      <c r="L31" s="4">
        <f>IFERROR(IF(VLOOKUP(C31,Players!$A$2:$B$26,2,0)=VLOOKUP(H31,Players!$A$2:$B$26,2,0),VLOOKUP(C31,Players!$A$2:$B$26,2,0)&amp;"",""),"")</f>
        <v/>
      </c>
      <c r="M31" s="4" t="n"/>
      <c r="N31" s="4">
        <f>IF(I31="Live",ROW(),"")</f>
        <v/>
      </c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>
        <f>IF(OR(C32="",H32="",I32&lt;&gt;"Final"),"",IF(N(E32)&gt;N(F32),C32,IF(N(F32)&gt;N(E32),H32,IF(J32&lt;&gt;"",J32,"Draw"))))</f>
        <v/>
      </c>
      <c r="L32" s="4">
        <f>IFERROR(IF(VLOOKUP(C32,Players!$A$2:$B$26,2,0)=VLOOKUP(H32,Players!$A$2:$B$26,2,0),VLOOKUP(C32,Players!$A$2:$B$26,2,0)&amp;"",""),"")</f>
        <v/>
      </c>
      <c r="M32" s="4" t="n"/>
      <c r="N32" s="4">
        <f>IF(I32="Live",ROW(),"")</f>
        <v/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>
        <f>IF(OR(C33="",H33="",I33&lt;&gt;"Final"),"",IF(N(E33)&gt;N(F33),C33,IF(N(F33)&gt;N(E33),H33,IF(J33&lt;&gt;"",J33,"Draw"))))</f>
        <v/>
      </c>
      <c r="L33" s="4">
        <f>IFERROR(IF(VLOOKUP(C33,Players!$A$2:$B$26,2,0)=VLOOKUP(H33,Players!$A$2:$B$26,2,0),VLOOKUP(C33,Players!$A$2:$B$26,2,0)&amp;"",""),"")</f>
        <v/>
      </c>
      <c r="M33" s="4" t="n"/>
      <c r="N33" s="4">
        <f>IF(I33="Live",ROW(),"")</f>
        <v/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>
        <f>IF(OR(C34="",H34="",I34&lt;&gt;"Final"),"",IF(N(E34)&gt;N(F34),C34,IF(N(F34)&gt;N(E34),H34,IF(J34&lt;&gt;"",J34,"Draw"))))</f>
        <v/>
      </c>
      <c r="L34" s="4">
        <f>IFERROR(IF(VLOOKUP(C34,Players!$A$2:$B$26,2,0)=VLOOKUP(H34,Players!$A$2:$B$26,2,0),VLOOKUP(C34,Players!$A$2:$B$26,2,0)&amp;"",""),"")</f>
        <v/>
      </c>
      <c r="M34" s="4" t="n"/>
      <c r="N34" s="4">
        <f>IF(I34="Live",ROW(),"")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>
        <f>IF(OR(C35="",H35="",I35&lt;&gt;"Final"),"",IF(N(E35)&gt;N(F35),C35,IF(N(F35)&gt;N(E35),H35,IF(J35&lt;&gt;"",J35,"Draw"))))</f>
        <v/>
      </c>
      <c r="L35" s="4">
        <f>IFERROR(IF(VLOOKUP(C35,Players!$A$2:$B$26,2,0)=VLOOKUP(H35,Players!$A$2:$B$26,2,0),VLOOKUP(C35,Players!$A$2:$B$26,2,0)&amp;"",""),"")</f>
        <v/>
      </c>
      <c r="M35" s="4" t="n"/>
      <c r="N35" s="4">
        <f>IF(I35="Live",ROW(),"")</f>
        <v/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>
        <f>IF(OR(C36="",H36="",I36&lt;&gt;"Final"),"",IF(N(E36)&gt;N(F36),C36,IF(N(F36)&gt;N(E36),H36,IF(J36&lt;&gt;"",J36,"Draw"))))</f>
        <v/>
      </c>
      <c r="L36" s="4">
        <f>IFERROR(IF(VLOOKUP(C36,Players!$A$2:$B$26,2,0)=VLOOKUP(H36,Players!$A$2:$B$26,2,0),VLOOKUP(C36,Players!$A$2:$B$26,2,0)&amp;"",""),"")</f>
        <v/>
      </c>
      <c r="M36" s="4" t="n"/>
      <c r="N36" s="4">
        <f>IF(I36="Live",ROW(),"")</f>
        <v/>
      </c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>
        <f>IF(OR(C37="",H37="",I37&lt;&gt;"Final"),"",IF(N(E37)&gt;N(F37),C37,IF(N(F37)&gt;N(E37),H37,IF(J37&lt;&gt;"",J37,"Draw"))))</f>
        <v/>
      </c>
      <c r="L37" s="4">
        <f>IFERROR(IF(VLOOKUP(C37,Players!$A$2:$B$26,2,0)=VLOOKUP(H37,Players!$A$2:$B$26,2,0),VLOOKUP(C37,Players!$A$2:$B$26,2,0)&amp;"",""),"")</f>
        <v/>
      </c>
      <c r="M37" s="4" t="n"/>
      <c r="N37" s="4">
        <f>IF(I37="Live",ROW(),"")</f>
        <v/>
      </c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>
        <f>IF(OR(C38="",H38="",I38&lt;&gt;"Final"),"",IF(N(E38)&gt;N(F38),C38,IF(N(F38)&gt;N(E38),H38,IF(J38&lt;&gt;"",J38,"Draw"))))</f>
        <v/>
      </c>
      <c r="L38" s="4">
        <f>IFERROR(IF(VLOOKUP(C38,Players!$A$2:$B$26,2,0)=VLOOKUP(H38,Players!$A$2:$B$26,2,0),VLOOKUP(C38,Players!$A$2:$B$26,2,0)&amp;"",""),"")</f>
        <v/>
      </c>
      <c r="M38" s="4" t="n"/>
      <c r="N38" s="4">
        <f>IF(I38="Live",ROW(),"")</f>
        <v/>
      </c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>
        <f>IF(OR(C39="",H39="",I39&lt;&gt;"Final"),"",IF(N(E39)&gt;N(F39),C39,IF(N(F39)&gt;N(E39),H39,IF(J39&lt;&gt;"",J39,"Draw"))))</f>
        <v/>
      </c>
      <c r="L39" s="4">
        <f>IFERROR(IF(VLOOKUP(C39,Players!$A$2:$B$26,2,0)=VLOOKUP(H39,Players!$A$2:$B$26,2,0),VLOOKUP(C39,Players!$A$2:$B$26,2,0)&amp;"",""),"")</f>
        <v/>
      </c>
      <c r="M39" s="4" t="n"/>
      <c r="N39" s="4">
        <f>IF(I39="Live",ROW(),"")</f>
        <v/>
      </c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>
        <f>IF(OR(C40="",H40="",I40&lt;&gt;"Final"),"",IF(N(E40)&gt;N(F40),C40,IF(N(F40)&gt;N(E40),H40,IF(J40&lt;&gt;"",J40,"Draw"))))</f>
        <v/>
      </c>
      <c r="L40" s="4">
        <f>IFERROR(IF(VLOOKUP(C40,Players!$A$2:$B$26,2,0)=VLOOKUP(H40,Players!$A$2:$B$26,2,0),VLOOKUP(C40,Players!$A$2:$B$26,2,0)&amp;"",""),"")</f>
        <v/>
      </c>
      <c r="M40" s="4" t="n"/>
      <c r="N40" s="4">
        <f>IF(I40="Live",ROW(),"")</f>
        <v/>
      </c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>
        <f>IF(OR(C41="",H41="",I41&lt;&gt;"Final"),"",IF(N(E41)&gt;N(F41),C41,IF(N(F41)&gt;N(E41),H41,IF(J41&lt;&gt;"",J41,"Draw"))))</f>
        <v/>
      </c>
      <c r="L41" s="4">
        <f>IFERROR(IF(VLOOKUP(C41,Players!$A$2:$B$26,2,0)=VLOOKUP(H41,Players!$A$2:$B$26,2,0),VLOOKUP(C41,Players!$A$2:$B$26,2,0)&amp;"",""),"")</f>
        <v/>
      </c>
      <c r="M41" s="4" t="n"/>
      <c r="N41" s="4">
        <f>IF(I41="Live",ROW(),"")</f>
        <v/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>
        <f>IF(OR(C42="",H42="",I42&lt;&gt;"Final"),"",IF(N(E42)&gt;N(F42),C42,IF(N(F42)&gt;N(E42),H42,IF(J42&lt;&gt;"",J42,"Draw"))))</f>
        <v/>
      </c>
      <c r="L42" s="4">
        <f>IFERROR(IF(VLOOKUP(C42,Players!$A$2:$B$26,2,0)=VLOOKUP(H42,Players!$A$2:$B$26,2,0),VLOOKUP(C42,Players!$A$2:$B$26,2,0)&amp;"",""),"")</f>
        <v/>
      </c>
      <c r="M42" s="4" t="n"/>
      <c r="N42" s="4">
        <f>IF(I42="Live",ROW(),"")</f>
        <v/>
      </c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>
        <f>IF(OR(C43="",H43="",I43&lt;&gt;"Final"),"",IF(N(E43)&gt;N(F43),C43,IF(N(F43)&gt;N(E43),H43,IF(J43&lt;&gt;"",J43,"Draw"))))</f>
        <v/>
      </c>
      <c r="L43" s="4">
        <f>IFERROR(IF(VLOOKUP(C43,Players!$A$2:$B$26,2,0)=VLOOKUP(H43,Players!$A$2:$B$26,2,0),VLOOKUP(C43,Players!$A$2:$B$26,2,0)&amp;"",""),"")</f>
        <v/>
      </c>
      <c r="M43" s="4" t="n"/>
      <c r="N43" s="4">
        <f>IF(I43="Live",ROW(),"")</f>
        <v/>
      </c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>
        <f>IF(OR(C44="",H44="",I44&lt;&gt;"Final"),"",IF(N(E44)&gt;N(F44),C44,IF(N(F44)&gt;N(E44),H44,IF(J44&lt;&gt;"",J44,"Draw"))))</f>
        <v/>
      </c>
      <c r="L44" s="4">
        <f>IFERROR(IF(VLOOKUP(C44,Players!$A$2:$B$26,2,0)=VLOOKUP(H44,Players!$A$2:$B$26,2,0),VLOOKUP(C44,Players!$A$2:$B$26,2,0)&amp;"",""),"")</f>
        <v/>
      </c>
      <c r="M44" s="4" t="n"/>
      <c r="N44" s="4">
        <f>IF(I44="Live",ROW(),"")</f>
        <v/>
      </c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>
        <f>IF(OR(C45="",H45="",I45&lt;&gt;"Final"),"",IF(N(E45)&gt;N(F45),C45,IF(N(F45)&gt;N(E45),H45,IF(J45&lt;&gt;"",J45,"Draw"))))</f>
        <v/>
      </c>
      <c r="L45" s="4">
        <f>IFERROR(IF(VLOOKUP(C45,Players!$A$2:$B$26,2,0)=VLOOKUP(H45,Players!$A$2:$B$26,2,0),VLOOKUP(C45,Players!$A$2:$B$26,2,0)&amp;"",""),"")</f>
        <v/>
      </c>
      <c r="M45" s="4" t="n"/>
      <c r="N45" s="4">
        <f>IF(I45="Live",ROW(),"")</f>
        <v/>
      </c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>
        <f>IF(OR(C46="",H46="",I46&lt;&gt;"Final"),"",IF(N(E46)&gt;N(F46),C46,IF(N(F46)&gt;N(E46),H46,IF(J46&lt;&gt;"",J46,"Draw"))))</f>
        <v/>
      </c>
      <c r="L46" s="4">
        <f>IFERROR(IF(VLOOKUP(C46,Players!$A$2:$B$26,2,0)=VLOOKUP(H46,Players!$A$2:$B$26,2,0),VLOOKUP(C46,Players!$A$2:$B$26,2,0)&amp;"",""),"")</f>
        <v/>
      </c>
      <c r="M46" s="4" t="n"/>
      <c r="N46" s="4">
        <f>IF(I46="Live",ROW(),"")</f>
        <v/>
      </c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>
        <f>IF(OR(C47="",H47="",I47&lt;&gt;"Final"),"",IF(N(E47)&gt;N(F47),C47,IF(N(F47)&gt;N(E47),H47,IF(J47&lt;&gt;"",J47,"Draw"))))</f>
        <v/>
      </c>
      <c r="L47" s="4">
        <f>IFERROR(IF(VLOOKUP(C47,Players!$A$2:$B$26,2,0)=VLOOKUP(H47,Players!$A$2:$B$26,2,0),VLOOKUP(C47,Players!$A$2:$B$26,2,0)&amp;"",""),"")</f>
        <v/>
      </c>
      <c r="M47" s="4" t="n"/>
      <c r="N47" s="4">
        <f>IF(I47="Live",ROW(),"")</f>
        <v/>
      </c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>
        <f>IF(OR(C48="",H48="",I48&lt;&gt;"Final"),"",IF(N(E48)&gt;N(F48),C48,IF(N(F48)&gt;N(E48),H48,IF(J48&lt;&gt;"",J48,"Draw"))))</f>
        <v/>
      </c>
      <c r="L48" s="4">
        <f>IFERROR(IF(VLOOKUP(C48,Players!$A$2:$B$26,2,0)=VLOOKUP(H48,Players!$A$2:$B$26,2,0),VLOOKUP(C48,Players!$A$2:$B$26,2,0)&amp;"",""),"")</f>
        <v/>
      </c>
      <c r="M48" s="4" t="n"/>
      <c r="N48" s="4">
        <f>IF(I48="Live",ROW(),"")</f>
        <v/>
      </c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>
        <f>IF(OR(C49="",H49="",I49&lt;&gt;"Final"),"",IF(N(E49)&gt;N(F49),C49,IF(N(F49)&gt;N(E49),H49,IF(J49&lt;&gt;"",J49,"Draw"))))</f>
        <v/>
      </c>
      <c r="L49" s="4">
        <f>IFERROR(IF(VLOOKUP(C49,Players!$A$2:$B$26,2,0)=VLOOKUP(H49,Players!$A$2:$B$26,2,0),VLOOKUP(C49,Players!$A$2:$B$26,2,0)&amp;"",""),"")</f>
        <v/>
      </c>
      <c r="M49" s="4" t="n"/>
      <c r="N49" s="4">
        <f>IF(I49="Live",ROW(),"")</f>
        <v/>
      </c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>
        <f>IF(OR(C50="",H50="",I50&lt;&gt;"Final"),"",IF(N(E50)&gt;N(F50),C50,IF(N(F50)&gt;N(E50),H50,IF(J50&lt;&gt;"",J50,"Draw"))))</f>
        <v/>
      </c>
      <c r="L50" s="4">
        <f>IFERROR(IF(VLOOKUP(C50,Players!$A$2:$B$26,2,0)=VLOOKUP(H50,Players!$A$2:$B$26,2,0),VLOOKUP(C50,Players!$A$2:$B$26,2,0)&amp;"",""),"")</f>
        <v/>
      </c>
      <c r="M50" s="4" t="n"/>
      <c r="N50" s="4">
        <f>IF(I50="Live",ROW(),"")</f>
        <v/>
      </c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>
        <f>IF(OR(C51="",H51="",I51&lt;&gt;"Final"),"",IF(N(E51)&gt;N(F51),C51,IF(N(F51)&gt;N(E51),H51,IF(J51&lt;&gt;"",J51,"Draw"))))</f>
        <v/>
      </c>
      <c r="L51" s="4">
        <f>IFERROR(IF(VLOOKUP(C51,Players!$A$2:$B$26,2,0)=VLOOKUP(H51,Players!$A$2:$B$26,2,0),VLOOKUP(C51,Players!$A$2:$B$26,2,0)&amp;"",""),"")</f>
        <v/>
      </c>
      <c r="M51" s="4" t="n"/>
      <c r="N51" s="4">
        <f>IF(I51="Live",ROW(),"")</f>
        <v/>
      </c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>
        <f>IF(OR(C52="",H52="",I52&lt;&gt;"Final"),"",IF(N(E52)&gt;N(F52),C52,IF(N(F52)&gt;N(E52),H52,IF(J52&lt;&gt;"",J52,"Draw"))))</f>
        <v/>
      </c>
      <c r="L52" s="4">
        <f>IFERROR(IF(VLOOKUP(C52,Players!$A$2:$B$26,2,0)=VLOOKUP(H52,Players!$A$2:$B$26,2,0),VLOOKUP(C52,Players!$A$2:$B$26,2,0)&amp;"",""),"")</f>
        <v/>
      </c>
      <c r="M52" s="4" t="n"/>
      <c r="N52" s="4">
        <f>IF(I52="Live",ROW(),"")</f>
        <v/>
      </c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>
        <f>IF(OR(C53="",H53="",I53&lt;&gt;"Final"),"",IF(N(E53)&gt;N(F53),C53,IF(N(F53)&gt;N(E53),H53,IF(J53&lt;&gt;"",J53,"Draw"))))</f>
        <v/>
      </c>
      <c r="L53" s="4">
        <f>IFERROR(IF(VLOOKUP(C53,Players!$A$2:$B$26,2,0)=VLOOKUP(H53,Players!$A$2:$B$26,2,0),VLOOKUP(C53,Players!$A$2:$B$26,2,0)&amp;"",""),"")</f>
        <v/>
      </c>
      <c r="M53" s="4" t="n"/>
      <c r="N53" s="4">
        <f>IF(I53="Live",ROW(),"")</f>
        <v/>
      </c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>
        <f>IF(OR(C54="",H54="",I54&lt;&gt;"Final"),"",IF(N(E54)&gt;N(F54),C54,IF(N(F54)&gt;N(E54),H54,IF(J54&lt;&gt;"",J54,"Draw"))))</f>
        <v/>
      </c>
      <c r="L54" s="4">
        <f>IFERROR(IF(VLOOKUP(C54,Players!$A$2:$B$26,2,0)=VLOOKUP(H54,Players!$A$2:$B$26,2,0),VLOOKUP(C54,Players!$A$2:$B$26,2,0)&amp;"",""),"")</f>
        <v/>
      </c>
      <c r="M54" s="4" t="n"/>
      <c r="N54" s="4">
        <f>IF(I54="Live",ROW(),"")</f>
        <v/>
      </c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>
        <f>IF(OR(C55="",H55="",I55&lt;&gt;"Final"),"",IF(N(E55)&gt;N(F55),C55,IF(N(F55)&gt;N(E55),H55,IF(J55&lt;&gt;"",J55,"Draw"))))</f>
        <v/>
      </c>
      <c r="L55" s="4">
        <f>IFERROR(IF(VLOOKUP(C55,Players!$A$2:$B$26,2,0)=VLOOKUP(H55,Players!$A$2:$B$26,2,0),VLOOKUP(C55,Players!$A$2:$B$26,2,0)&amp;"",""),"")</f>
        <v/>
      </c>
      <c r="M55" s="4" t="n"/>
      <c r="N55" s="4">
        <f>IF(I55="Live",ROW(),"")</f>
        <v/>
      </c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>
        <f>IF(OR(C56="",H56="",I56&lt;&gt;"Final"),"",IF(N(E56)&gt;N(F56),C56,IF(N(F56)&gt;N(E56),H56,IF(J56&lt;&gt;"",J56,"Draw"))))</f>
        <v/>
      </c>
      <c r="L56" s="4">
        <f>IFERROR(IF(VLOOKUP(C56,Players!$A$2:$B$26,2,0)=VLOOKUP(H56,Players!$A$2:$B$26,2,0),VLOOKUP(C56,Players!$A$2:$B$26,2,0)&amp;"",""),"")</f>
        <v/>
      </c>
      <c r="M56" s="4" t="n"/>
      <c r="N56" s="4">
        <f>IF(I56="Live",ROW(),"")</f>
        <v/>
      </c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>
        <f>IF(OR(C57="",H57="",I57&lt;&gt;"Final"),"",IF(N(E57)&gt;N(F57),C57,IF(N(F57)&gt;N(E57),H57,IF(J57&lt;&gt;"",J57,"Draw"))))</f>
        <v/>
      </c>
      <c r="L57" s="4">
        <f>IFERROR(IF(VLOOKUP(C57,Players!$A$2:$B$26,2,0)=VLOOKUP(H57,Players!$A$2:$B$26,2,0),VLOOKUP(C57,Players!$A$2:$B$26,2,0)&amp;"",""),"")</f>
        <v/>
      </c>
      <c r="M57" s="4" t="n"/>
      <c r="N57" s="4">
        <f>IF(I57="Live",ROW(),"")</f>
        <v/>
      </c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>
        <f>IF(OR(C58="",H58="",I58&lt;&gt;"Final"),"",IF(N(E58)&gt;N(F58),C58,IF(N(F58)&gt;N(E58),H58,IF(J58&lt;&gt;"",J58,"Draw"))))</f>
        <v/>
      </c>
      <c r="L58" s="4">
        <f>IFERROR(IF(VLOOKUP(C58,Players!$A$2:$B$26,2,0)=VLOOKUP(H58,Players!$A$2:$B$26,2,0),VLOOKUP(C58,Players!$A$2:$B$26,2,0)&amp;"",""),"")</f>
        <v/>
      </c>
      <c r="M58" s="4" t="n"/>
      <c r="N58" s="4">
        <f>IF(I58="Live",ROW(),"")</f>
        <v/>
      </c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>
        <f>IF(OR(C59="",H59="",I59&lt;&gt;"Final"),"",IF(N(E59)&gt;N(F59),C59,IF(N(F59)&gt;N(E59),H59,IF(J59&lt;&gt;"",J59,"Draw"))))</f>
        <v/>
      </c>
      <c r="L59" s="4">
        <f>IFERROR(IF(VLOOKUP(C59,Players!$A$2:$B$26,2,0)=VLOOKUP(H59,Players!$A$2:$B$26,2,0),VLOOKUP(C59,Players!$A$2:$B$26,2,0)&amp;"",""),"")</f>
        <v/>
      </c>
      <c r="M59" s="4" t="n"/>
      <c r="N59" s="4">
        <f>IF(I59="Live",ROW(),"")</f>
        <v/>
      </c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>
        <f>IF(OR(C60="",H60="",I60&lt;&gt;"Final"),"",IF(N(E60)&gt;N(F60),C60,IF(N(F60)&gt;N(E60),H60,IF(J60&lt;&gt;"",J60,"Draw"))))</f>
        <v/>
      </c>
      <c r="L60" s="4">
        <f>IFERROR(IF(VLOOKUP(C60,Players!$A$2:$B$26,2,0)=VLOOKUP(H60,Players!$A$2:$B$26,2,0),VLOOKUP(C60,Players!$A$2:$B$26,2,0)&amp;"",""),"")</f>
        <v/>
      </c>
      <c r="M60" s="4" t="n"/>
      <c r="N60" s="4">
        <f>IF(I60="Live",ROW(),"")</f>
        <v/>
      </c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>
        <f>IF(OR(C61="",H61="",I61&lt;&gt;"Final"),"",IF(N(E61)&gt;N(F61),C61,IF(N(F61)&gt;N(E61),H61,IF(J61&lt;&gt;"",J61,"Draw"))))</f>
        <v/>
      </c>
      <c r="L61" s="4">
        <f>IFERROR(IF(VLOOKUP(C61,Players!$A$2:$B$26,2,0)=VLOOKUP(H61,Players!$A$2:$B$26,2,0),VLOOKUP(C61,Players!$A$2:$B$26,2,0)&amp;"",""),"")</f>
        <v/>
      </c>
      <c r="M61" s="4" t="n"/>
      <c r="N61" s="4">
        <f>IF(I61="Live",ROW(),"")</f>
        <v/>
      </c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>
        <f>IF(OR(C62="",H62="",I62&lt;&gt;"Final"),"",IF(N(E62)&gt;N(F62),C62,IF(N(F62)&gt;N(E62),H62,IF(J62&lt;&gt;"",J62,"Draw"))))</f>
        <v/>
      </c>
      <c r="L62" s="4">
        <f>IFERROR(IF(VLOOKUP(C62,Players!$A$2:$B$26,2,0)=VLOOKUP(H62,Players!$A$2:$B$26,2,0),VLOOKUP(C62,Players!$A$2:$B$26,2,0)&amp;"",""),"")</f>
        <v/>
      </c>
      <c r="M62" s="4" t="n"/>
      <c r="N62" s="4">
        <f>IF(I62="Live",ROW(),"")</f>
        <v/>
      </c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>
        <f>IF(OR(C63="",H63="",I63&lt;&gt;"Final"),"",IF(N(E63)&gt;N(F63),C63,IF(N(F63)&gt;N(E63),H63,IF(J63&lt;&gt;"",J63,"Draw"))))</f>
        <v/>
      </c>
      <c r="L63" s="4">
        <f>IFERROR(IF(VLOOKUP(C63,Players!$A$2:$B$26,2,0)=VLOOKUP(H63,Players!$A$2:$B$26,2,0),VLOOKUP(C63,Players!$A$2:$B$26,2,0)&amp;"",""),"")</f>
        <v/>
      </c>
      <c r="M63" s="4" t="n"/>
      <c r="N63" s="4">
        <f>IF(I63="Live",ROW(),"")</f>
        <v/>
      </c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>
        <f>IF(OR(C64="",H64="",I64&lt;&gt;"Final"),"",IF(N(E64)&gt;N(F64),C64,IF(N(F64)&gt;N(E64),H64,IF(J64&lt;&gt;"",J64,"Draw"))))</f>
        <v/>
      </c>
      <c r="L64" s="4">
        <f>IFERROR(IF(VLOOKUP(C64,Players!$A$2:$B$26,2,0)=VLOOKUP(H64,Players!$A$2:$B$26,2,0),VLOOKUP(C64,Players!$A$2:$B$26,2,0)&amp;"",""),"")</f>
        <v/>
      </c>
      <c r="M64" s="4" t="n"/>
      <c r="N64" s="4">
        <f>IF(I64="Live",ROW(),"")</f>
        <v/>
      </c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>
        <f>IF(OR(C65="",H65="",I65&lt;&gt;"Final"),"",IF(N(E65)&gt;N(F65),C65,IF(N(F65)&gt;N(E65),H65,IF(J65&lt;&gt;"",J65,"Draw"))))</f>
        <v/>
      </c>
      <c r="L65" s="4">
        <f>IFERROR(IF(VLOOKUP(C65,Players!$A$2:$B$26,2,0)=VLOOKUP(H65,Players!$A$2:$B$26,2,0),VLOOKUP(C65,Players!$A$2:$B$26,2,0)&amp;"",""),"")</f>
        <v/>
      </c>
      <c r="M65" s="4" t="n"/>
      <c r="N65" s="4">
        <f>IF(I65="Live",ROW(),"")</f>
        <v/>
      </c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>
        <f>IF(OR(C66="",H66="",I66&lt;&gt;"Final"),"",IF(N(E66)&gt;N(F66),C66,IF(N(F66)&gt;N(E66),H66,IF(J66&lt;&gt;"",J66,"Draw"))))</f>
        <v/>
      </c>
      <c r="L66" s="4">
        <f>IFERROR(IF(VLOOKUP(C66,Players!$A$2:$B$26,2,0)=VLOOKUP(H66,Players!$A$2:$B$26,2,0),VLOOKUP(C66,Players!$A$2:$B$26,2,0)&amp;"",""),"")</f>
        <v/>
      </c>
      <c r="M66" s="4" t="n"/>
      <c r="N66" s="4">
        <f>IF(I66="Live",ROW(),"")</f>
        <v/>
      </c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>
        <f>IF(OR(C67="",H67="",I67&lt;&gt;"Final"),"",IF(N(E67)&gt;N(F67),C67,IF(N(F67)&gt;N(E67),H67,IF(J67&lt;&gt;"",J67,"Draw"))))</f>
        <v/>
      </c>
      <c r="L67" s="4">
        <f>IFERROR(IF(VLOOKUP(C67,Players!$A$2:$B$26,2,0)=VLOOKUP(H67,Players!$A$2:$B$26,2,0),VLOOKUP(C67,Players!$A$2:$B$26,2,0)&amp;"",""),"")</f>
        <v/>
      </c>
      <c r="M67" s="4" t="n"/>
      <c r="N67" s="4">
        <f>IF(I67="Live",ROW(),"")</f>
        <v/>
      </c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>
        <f>IF(OR(C68="",H68="",I68&lt;&gt;"Final"),"",IF(N(E68)&gt;N(F68),C68,IF(N(F68)&gt;N(E68),H68,IF(J68&lt;&gt;"",J68,"Draw"))))</f>
        <v/>
      </c>
      <c r="L68" s="4">
        <f>IFERROR(IF(VLOOKUP(C68,Players!$A$2:$B$26,2,0)=VLOOKUP(H68,Players!$A$2:$B$26,2,0),VLOOKUP(C68,Players!$A$2:$B$26,2,0)&amp;"",""),"")</f>
        <v/>
      </c>
      <c r="M68" s="4" t="n"/>
      <c r="N68" s="4">
        <f>IF(I68="Live",ROW(),"")</f>
        <v/>
      </c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>
        <f>IF(OR(C69="",H69="",I69&lt;&gt;"Final"),"",IF(N(E69)&gt;N(F69),C69,IF(N(F69)&gt;N(E69),H69,IF(J69&lt;&gt;"",J69,"Draw"))))</f>
        <v/>
      </c>
      <c r="L69" s="4">
        <f>IFERROR(IF(VLOOKUP(C69,Players!$A$2:$B$26,2,0)=VLOOKUP(H69,Players!$A$2:$B$26,2,0),VLOOKUP(C69,Players!$A$2:$B$26,2,0)&amp;"",""),"")</f>
        <v/>
      </c>
      <c r="M69" s="4" t="n"/>
      <c r="N69" s="4">
        <f>IF(I69="Live",ROW(),"")</f>
        <v/>
      </c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>
        <f>IF(OR(C70="",H70="",I70&lt;&gt;"Final"),"",IF(N(E70)&gt;N(F70),C70,IF(N(F70)&gt;N(E70),H70,IF(J70&lt;&gt;"",J70,"Draw"))))</f>
        <v/>
      </c>
      <c r="L70" s="4">
        <f>IFERROR(IF(VLOOKUP(C70,Players!$A$2:$B$26,2,0)=VLOOKUP(H70,Players!$A$2:$B$26,2,0),VLOOKUP(C70,Players!$A$2:$B$26,2,0)&amp;"",""),"")</f>
        <v/>
      </c>
      <c r="M70" s="4" t="n"/>
      <c r="N70" s="4">
        <f>IF(I70="Live",ROW(),"")</f>
        <v/>
      </c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>
        <f>IF(OR(C71="",H71="",I71&lt;&gt;"Final"),"",IF(N(E71)&gt;N(F71),C71,IF(N(F71)&gt;N(E71),H71,IF(J71&lt;&gt;"",J71,"Draw"))))</f>
        <v/>
      </c>
      <c r="L71" s="4">
        <f>IFERROR(IF(VLOOKUP(C71,Players!$A$2:$B$26,2,0)=VLOOKUP(H71,Players!$A$2:$B$26,2,0),VLOOKUP(C71,Players!$A$2:$B$26,2,0)&amp;"",""),"")</f>
        <v/>
      </c>
      <c r="M71" s="4" t="n"/>
      <c r="N71" s="4">
        <f>IF(I71="Live",ROW(),"")</f>
        <v/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>
        <f>IF(OR(C72="",H72="",I72&lt;&gt;"Final"),"",IF(N(E72)&gt;N(F72),C72,IF(N(F72)&gt;N(E72),H72,IF(J72&lt;&gt;"",J72,"Draw"))))</f>
        <v/>
      </c>
      <c r="L72" s="4">
        <f>IFERROR(IF(VLOOKUP(C72,Players!$A$2:$B$26,2,0)=VLOOKUP(H72,Players!$A$2:$B$26,2,0),VLOOKUP(C72,Players!$A$2:$B$26,2,0)&amp;"",""),"")</f>
        <v/>
      </c>
      <c r="M72" s="4" t="n"/>
      <c r="N72" s="4">
        <f>IF(I72="Live",ROW(),"")</f>
        <v/>
      </c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>
        <f>IF(OR(C73="",H73="",I73&lt;&gt;"Final"),"",IF(N(E73)&gt;N(F73),C73,IF(N(F73)&gt;N(E73),H73,IF(J73&lt;&gt;"",J73,"Draw"))))</f>
        <v/>
      </c>
      <c r="L73" s="4">
        <f>IFERROR(IF(VLOOKUP(C73,Players!$A$2:$B$26,2,0)=VLOOKUP(H73,Players!$A$2:$B$26,2,0),VLOOKUP(C73,Players!$A$2:$B$26,2,0)&amp;"",""),"")</f>
        <v/>
      </c>
      <c r="M73" s="4" t="n"/>
      <c r="N73" s="4">
        <f>IF(I73="Live",ROW(),"")</f>
        <v/>
      </c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>
        <f>IF(OR(C74="",H74="",I74&lt;&gt;"Final"),"",IF(N(E74)&gt;N(F74),C74,IF(N(F74)&gt;N(E74),H74,IF(J74&lt;&gt;"",J74,"Draw"))))</f>
        <v/>
      </c>
      <c r="L74" s="4">
        <f>IFERROR(IF(VLOOKUP(C74,Players!$A$2:$B$26,2,0)=VLOOKUP(H74,Players!$A$2:$B$26,2,0),VLOOKUP(C74,Players!$A$2:$B$26,2,0)&amp;"",""),"")</f>
        <v/>
      </c>
      <c r="M74" s="4" t="n"/>
      <c r="N74" s="4">
        <f>IF(I74="Live",ROW(),"")</f>
        <v/>
      </c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>
        <f>IF(OR(C75="",H75="",I75&lt;&gt;"Final"),"",IF(N(E75)&gt;N(F75),C75,IF(N(F75)&gt;N(E75),H75,IF(J75&lt;&gt;"",J75,"Draw"))))</f>
        <v/>
      </c>
      <c r="L75" s="4">
        <f>IFERROR(IF(VLOOKUP(C75,Players!$A$2:$B$26,2,0)=VLOOKUP(H75,Players!$A$2:$B$26,2,0),VLOOKUP(C75,Players!$A$2:$B$26,2,0)&amp;"",""),"")</f>
        <v/>
      </c>
      <c r="M75" s="4" t="n"/>
      <c r="N75" s="4">
        <f>IF(I75="Live",ROW(),"")</f>
        <v/>
      </c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>
        <f>IF(OR(C76="",H76="",I76&lt;&gt;"Final"),"",IF(N(E76)&gt;N(F76),C76,IF(N(F76)&gt;N(E76),H76,IF(J76&lt;&gt;"",J76,"Draw"))))</f>
        <v/>
      </c>
      <c r="L76" s="4">
        <f>IFERROR(IF(VLOOKUP(C76,Players!$A$2:$B$26,2,0)=VLOOKUP(H76,Players!$A$2:$B$26,2,0),VLOOKUP(C76,Players!$A$2:$B$26,2,0)&amp;"",""),"")</f>
        <v/>
      </c>
      <c r="M76" s="4" t="n"/>
      <c r="N76" s="4">
        <f>IF(I76="Live",ROW(),"")</f>
        <v/>
      </c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>
        <f>IF(OR(C77="",H77="",I77&lt;&gt;"Final"),"",IF(N(E77)&gt;N(F77),C77,IF(N(F77)&gt;N(E77),H77,IF(J77&lt;&gt;"",J77,"Draw"))))</f>
        <v/>
      </c>
      <c r="L77" s="4">
        <f>IFERROR(IF(VLOOKUP(C77,Players!$A$2:$B$26,2,0)=VLOOKUP(H77,Players!$A$2:$B$26,2,0),VLOOKUP(C77,Players!$A$2:$B$26,2,0)&amp;"",""),"")</f>
        <v/>
      </c>
      <c r="M77" s="4" t="n"/>
      <c r="N77" s="4">
        <f>IF(I77="Live",ROW(),"")</f>
        <v/>
      </c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>
        <f>IF(OR(C78="",H78="",I78&lt;&gt;"Final"),"",IF(N(E78)&gt;N(F78),C78,IF(N(F78)&gt;N(E78),H78,IF(J78&lt;&gt;"",J78,"Draw"))))</f>
        <v/>
      </c>
      <c r="L78" s="4">
        <f>IFERROR(IF(VLOOKUP(C78,Players!$A$2:$B$26,2,0)=VLOOKUP(H78,Players!$A$2:$B$26,2,0),VLOOKUP(C78,Players!$A$2:$B$26,2,0)&amp;"",""),"")</f>
        <v/>
      </c>
      <c r="M78" s="4" t="n"/>
      <c r="N78" s="4">
        <f>IF(I78="Live",ROW(),"")</f>
        <v/>
      </c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>
        <f>IF(OR(C79="",H79="",I79&lt;&gt;"Final"),"",IF(N(E79)&gt;N(F79),C79,IF(N(F79)&gt;N(E79),H79,IF(J79&lt;&gt;"",J79,"Draw"))))</f>
        <v/>
      </c>
      <c r="L79" s="4">
        <f>IFERROR(IF(VLOOKUP(C79,Players!$A$2:$B$26,2,0)=VLOOKUP(H79,Players!$A$2:$B$26,2,0),VLOOKUP(C79,Players!$A$2:$B$26,2,0)&amp;"",""),"")</f>
        <v/>
      </c>
      <c r="M79" s="4" t="n"/>
      <c r="N79" s="4">
        <f>IF(I79="Live",ROW(),"")</f>
        <v/>
      </c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>
        <f>IF(OR(C80="",H80="",I80&lt;&gt;"Final"),"",IF(N(E80)&gt;N(F80),C80,IF(N(F80)&gt;N(E80),H80,IF(J80&lt;&gt;"",J80,"Draw"))))</f>
        <v/>
      </c>
      <c r="L80" s="4">
        <f>IFERROR(IF(VLOOKUP(C80,Players!$A$2:$B$26,2,0)=VLOOKUP(H80,Players!$A$2:$B$26,2,0),VLOOKUP(C80,Players!$A$2:$B$26,2,0)&amp;"",""),"")</f>
        <v/>
      </c>
      <c r="M80" s="4" t="n"/>
      <c r="N80" s="4">
        <f>IF(I80="Live",ROW(),"")</f>
        <v/>
      </c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>
        <f>IF(OR(C81="",H81="",I81&lt;&gt;"Final"),"",IF(N(E81)&gt;N(F81),C81,IF(N(F81)&gt;N(E81),H81,IF(J81&lt;&gt;"",J81,"Draw"))))</f>
        <v/>
      </c>
      <c r="L81" s="4">
        <f>IFERROR(IF(VLOOKUP(C81,Players!$A$2:$B$26,2,0)=VLOOKUP(H81,Players!$A$2:$B$26,2,0),VLOOKUP(C81,Players!$A$2:$B$26,2,0)&amp;"",""),"")</f>
        <v/>
      </c>
      <c r="M81" s="4" t="n"/>
      <c r="N81" s="4">
        <f>IF(I81="Live",ROW(),"")</f>
        <v/>
      </c>
    </row>
  </sheetData>
  <conditionalFormatting sqref="A2:J81">
    <cfRule type="expression" priority="1" dxfId="3">
      <formula>TRUE</formula>
    </cfRule>
  </conditionalFormatting>
  <conditionalFormatting sqref="M2:M81">
    <cfRule type="expression" priority="2" dxfId="3">
      <formula>TRUE</formula>
    </cfRule>
  </conditionalFormatting>
  <conditionalFormatting sqref="A2:M81">
    <cfRule type="expression" priority="3" dxfId="4">
      <formula>$I2="Live"</formula>
    </cfRule>
  </conditionalFormatting>
  <conditionalFormatting sqref="K2:K81">
    <cfRule type="expression" priority="4" dxfId="0">
      <formula>AND($K2&lt;&gt;"",$K2&lt;&gt;"Draw")</formula>
    </cfRule>
  </conditionalFormatting>
  <dataValidations count="5">
    <dataValidation sqref="A2:A81" showDropDown="0" showInputMessage="0" showErrorMessage="0" allowBlank="1" type="list">
      <formula1>"Group,Knockout,Friendly"</formula1>
    </dataValidation>
    <dataValidation sqref="B2:B81" showDropDown="0" showInputMessage="0" showErrorMessage="0" allowBlank="1" type="list">
      <formula1>"Quarter-final,Semi-final,3rd place,Final"</formula1>
    </dataValidation>
    <dataValidation sqref="C2:C81 H2:H81 J2:J81 M2:M81" showDropDown="0" showInputMessage="0" showErrorMessage="0" allowBlank="1" type="list">
      <formula1>=Players!$A$2:$A$26</formula1>
    </dataValidation>
    <dataValidation sqref="I2:I81" showDropDown="0" showInputMessage="0" showErrorMessage="0" allowBlank="1" type="list">
      <formula1>"Live,Final"</formula1>
    </dataValidation>
    <dataValidation sqref="E2:F81" showDropDown="0" showInputMessage="0" showErrorMessage="0" allowBlank="1" type="whole" operator="between">
      <formula1>0</formula1>
      <formula2>50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  <col width="12" customWidth="1" min="7" max="7"/>
    <col width="12" customWidth="1" min="8" max="8"/>
    <col width="12" customWidth="1" min="9" max="9"/>
    <col width="3" customWidth="1" min="10" max="10"/>
    <col width="18" customWidth="1" min="11" max="11"/>
    <col width="14" customWidth="1" min="12" max="12"/>
  </cols>
  <sheetData>
    <row r="1">
      <c r="A1" s="8" t="inlineStr">
        <is>
          <t>Player</t>
        </is>
      </c>
      <c r="B1" s="8">
        <f>Settings!A6&amp;" ("&amp;TEXT(Settings!B6,"$0.00")&amp;")"</f>
        <v/>
      </c>
      <c r="C1" s="8">
        <f>Settings!A7&amp;" ("&amp;TEXT(Settings!B7,"$0.00")&amp;")"</f>
        <v/>
      </c>
      <c r="D1" s="8">
        <f>Settings!A8&amp;" ("&amp;TEXT(Settings!B8,"$0.00")&amp;")"</f>
        <v/>
      </c>
      <c r="E1" s="8">
        <f>Settings!A9&amp;" ("&amp;TEXT(Settings!B9,"$0.00")&amp;")"</f>
        <v/>
      </c>
      <c r="F1" s="8">
        <f>Settings!A10&amp;" ("&amp;TEXT(Settings!B10,"$0.00")&amp;")"</f>
        <v/>
      </c>
      <c r="G1" s="8" t="inlineStr">
        <is>
          <t>Cash out</t>
        </is>
      </c>
      <c r="H1" s="8" t="inlineStr">
        <is>
          <t>Paid in</t>
        </is>
      </c>
      <c r="I1" s="8" t="inlineStr">
        <is>
          <t>Net</t>
        </is>
      </c>
      <c r="J1" s="4" t="n"/>
      <c r="K1" s="8" t="inlineStr">
        <is>
          <t>Check</t>
        </is>
      </c>
      <c r="L1" s="8" t="n"/>
    </row>
    <row r="2">
      <c r="A2" s="4">
        <f>Stats!A2</f>
        <v/>
      </c>
      <c r="B2" s="4" t="n"/>
      <c r="C2" s="4" t="n"/>
      <c r="D2" s="4" t="n"/>
      <c r="E2" s="4" t="n"/>
      <c r="F2" s="4" t="n"/>
      <c r="G2" s="15">
        <f>IF(COUNT(B2:F2)=0,"",B2*Settings!$B$6+C2*Settings!$B$7+D2*Settings!$B$8+E2*Settings!$B$9+F2*Settings!$B$10)</f>
        <v/>
      </c>
      <c r="H2" s="15">
        <f>IF(A2="","",Stats!X2)</f>
        <v/>
      </c>
      <c r="I2" s="16">
        <f>IF(G2="","",G2-H2)</f>
        <v/>
      </c>
      <c r="J2" s="4" t="n"/>
      <c r="K2" s="4" t="inlineStr">
        <is>
          <t>Total paid in</t>
        </is>
      </c>
      <c r="L2" s="15">
        <f>SUM(Stats!X2:X26)</f>
        <v/>
      </c>
    </row>
    <row r="3">
      <c r="A3" s="4">
        <f>Stats!A3</f>
        <v/>
      </c>
      <c r="B3" s="4" t="n"/>
      <c r="C3" s="4" t="n"/>
      <c r="D3" s="4" t="n"/>
      <c r="E3" s="4" t="n"/>
      <c r="F3" s="4" t="n"/>
      <c r="G3" s="15">
        <f>IF(COUNT(B3:F3)=0,"",B3*Settings!$B$6+C3*Settings!$B$7+D3*Settings!$B$8+E3*Settings!$B$9+F3*Settings!$B$10)</f>
        <v/>
      </c>
      <c r="H3" s="15">
        <f>IF(A3="","",Stats!X3)</f>
        <v/>
      </c>
      <c r="I3" s="16">
        <f>IF(G3="","",G3-H3)</f>
        <v/>
      </c>
      <c r="J3" s="4" t="n"/>
      <c r="K3" s="4" t="inlineStr">
        <is>
          <t>Total cashed out</t>
        </is>
      </c>
      <c r="L3" s="15">
        <f>SUM(G2:G26)</f>
        <v/>
      </c>
    </row>
    <row r="4">
      <c r="A4" s="4">
        <f>Stats!A4</f>
        <v/>
      </c>
      <c r="B4" s="4" t="n"/>
      <c r="C4" s="4" t="n"/>
      <c r="D4" s="4" t="n"/>
      <c r="E4" s="4" t="n"/>
      <c r="F4" s="4" t="n"/>
      <c r="G4" s="15">
        <f>IF(COUNT(B4:F4)=0,"",B4*Settings!$B$6+C4*Settings!$B$7+D4*Settings!$B$8+E4*Settings!$B$9+F4*Settings!$B$10)</f>
        <v/>
      </c>
      <c r="H4" s="15">
        <f>IF(A4="","",Stats!X4)</f>
        <v/>
      </c>
      <c r="I4" s="16">
        <f>IF(G4="","",G4-H4)</f>
        <v/>
      </c>
      <c r="J4" s="4" t="n"/>
      <c r="K4" s="4" t="inlineStr">
        <is>
          <t>Difference</t>
        </is>
      </c>
      <c r="L4" s="15">
        <f>L3-L2</f>
        <v/>
      </c>
    </row>
    <row r="5">
      <c r="A5" s="4">
        <f>Stats!A5</f>
        <v/>
      </c>
      <c r="B5" s="4" t="n"/>
      <c r="C5" s="4" t="n"/>
      <c r="D5" s="4" t="n"/>
      <c r="E5" s="4" t="n"/>
      <c r="F5" s="4" t="n"/>
      <c r="G5" s="15">
        <f>IF(COUNT(B5:F5)=0,"",B5*Settings!$B$6+C5*Settings!$B$7+D5*Settings!$B$8+E5*Settings!$B$9+F5*Settings!$B$10)</f>
        <v/>
      </c>
      <c r="H5" s="15">
        <f>IF(A5="","",Stats!X5)</f>
        <v/>
      </c>
      <c r="I5" s="16">
        <f>IF(G5="","",G5-H5)</f>
        <v/>
      </c>
      <c r="J5" s="4" t="n"/>
      <c r="K5" s="4">
        <f>IF(COUNT(G2:G26)=0,"Enter chip counts to check.",IF(ABS(L4)&lt;0.005,"Balanced.",IF(L4&gt;0,"Too much cashed out. Recount.","Money is missing. Recount.")))</f>
        <v/>
      </c>
      <c r="L5" s="4" t="n"/>
    </row>
    <row r="6">
      <c r="A6" s="4">
        <f>Stats!A6</f>
        <v/>
      </c>
      <c r="B6" s="4" t="n"/>
      <c r="C6" s="4" t="n"/>
      <c r="D6" s="4" t="n"/>
      <c r="E6" s="4" t="n"/>
      <c r="F6" s="4" t="n"/>
      <c r="G6" s="15">
        <f>IF(COUNT(B6:F6)=0,"",B6*Settings!$B$6+C6*Settings!$B$7+D6*Settings!$B$8+E6*Settings!$B$9+F6*Settings!$B$10)</f>
        <v/>
      </c>
      <c r="H6" s="15">
        <f>IF(A6="","",Stats!X6)</f>
        <v/>
      </c>
      <c r="I6" s="16">
        <f>IF(G6="","",G6-H6)</f>
        <v/>
      </c>
      <c r="J6" s="4" t="n"/>
      <c r="K6" s="4" t="n"/>
      <c r="L6" s="4" t="n"/>
    </row>
    <row r="7">
      <c r="A7" s="4">
        <f>Stats!A7</f>
        <v/>
      </c>
      <c r="B7" s="4" t="n"/>
      <c r="C7" s="4" t="n"/>
      <c r="D7" s="4" t="n"/>
      <c r="E7" s="4" t="n"/>
      <c r="F7" s="4" t="n"/>
      <c r="G7" s="15">
        <f>IF(COUNT(B7:F7)=0,"",B7*Settings!$B$6+C7*Settings!$B$7+D7*Settings!$B$8+E7*Settings!$B$9+F7*Settings!$B$10)</f>
        <v/>
      </c>
      <c r="H7" s="15">
        <f>IF(A7="","",Stats!X7)</f>
        <v/>
      </c>
      <c r="I7" s="16">
        <f>IF(G7="","",G7-H7)</f>
        <v/>
      </c>
      <c r="J7" s="4" t="n"/>
      <c r="K7" s="4" t="n"/>
      <c r="L7" s="4" t="n"/>
    </row>
    <row r="8">
      <c r="A8" s="4">
        <f>Stats!A8</f>
        <v/>
      </c>
      <c r="B8" s="4" t="n"/>
      <c r="C8" s="4" t="n"/>
      <c r="D8" s="4" t="n"/>
      <c r="E8" s="4" t="n"/>
      <c r="F8" s="4" t="n"/>
      <c r="G8" s="15">
        <f>IF(COUNT(B8:F8)=0,"",B8*Settings!$B$6+C8*Settings!$B$7+D8*Settings!$B$8+E8*Settings!$B$9+F8*Settings!$B$10)</f>
        <v/>
      </c>
      <c r="H8" s="15">
        <f>IF(A8="","",Stats!X8)</f>
        <v/>
      </c>
      <c r="I8" s="16">
        <f>IF(G8="","",G8-H8)</f>
        <v/>
      </c>
      <c r="J8" s="4" t="n"/>
      <c r="K8" s="4" t="n"/>
      <c r="L8" s="4" t="n"/>
    </row>
    <row r="9">
      <c r="A9" s="4">
        <f>Stats!A9</f>
        <v/>
      </c>
      <c r="B9" s="4" t="n"/>
      <c r="C9" s="4" t="n"/>
      <c r="D9" s="4" t="n"/>
      <c r="E9" s="4" t="n"/>
      <c r="F9" s="4" t="n"/>
      <c r="G9" s="15">
        <f>IF(COUNT(B9:F9)=0,"",B9*Settings!$B$6+C9*Settings!$B$7+D9*Settings!$B$8+E9*Settings!$B$9+F9*Settings!$B$10)</f>
        <v/>
      </c>
      <c r="H9" s="15">
        <f>IF(A9="","",Stats!X9)</f>
        <v/>
      </c>
      <c r="I9" s="16">
        <f>IF(G9="","",G9-H9)</f>
        <v/>
      </c>
      <c r="J9" s="4" t="n"/>
      <c r="K9" s="4" t="n"/>
      <c r="L9" s="4" t="n"/>
    </row>
    <row r="10">
      <c r="A10" s="4">
        <f>Stats!A10</f>
        <v/>
      </c>
      <c r="B10" s="4" t="n"/>
      <c r="C10" s="4" t="n"/>
      <c r="D10" s="4" t="n"/>
      <c r="E10" s="4" t="n"/>
      <c r="F10" s="4" t="n"/>
      <c r="G10" s="15">
        <f>IF(COUNT(B10:F10)=0,"",B10*Settings!$B$6+C10*Settings!$B$7+D10*Settings!$B$8+E10*Settings!$B$9+F10*Settings!$B$10)</f>
        <v/>
      </c>
      <c r="H10" s="15">
        <f>IF(A10="","",Stats!X10)</f>
        <v/>
      </c>
      <c r="I10" s="16">
        <f>IF(G10="","",G10-H10)</f>
        <v/>
      </c>
      <c r="J10" s="4" t="n"/>
      <c r="K10" s="4" t="n"/>
      <c r="L10" s="4" t="n"/>
    </row>
    <row r="11">
      <c r="A11" s="4">
        <f>Stats!A11</f>
        <v/>
      </c>
      <c r="B11" s="4" t="n"/>
      <c r="C11" s="4" t="n"/>
      <c r="D11" s="4" t="n"/>
      <c r="E11" s="4" t="n"/>
      <c r="F11" s="4" t="n"/>
      <c r="G11" s="15">
        <f>IF(COUNT(B11:F11)=0,"",B11*Settings!$B$6+C11*Settings!$B$7+D11*Settings!$B$8+E11*Settings!$B$9+F11*Settings!$B$10)</f>
        <v/>
      </c>
      <c r="H11" s="15">
        <f>IF(A11="","",Stats!X11)</f>
        <v/>
      </c>
      <c r="I11" s="16">
        <f>IF(G11="","",G11-H11)</f>
        <v/>
      </c>
      <c r="J11" s="4" t="n"/>
      <c r="K11" s="4" t="n"/>
      <c r="L11" s="4" t="n"/>
    </row>
    <row r="12">
      <c r="A12" s="4">
        <f>Stats!A12</f>
        <v/>
      </c>
      <c r="B12" s="4" t="n"/>
      <c r="C12" s="4" t="n"/>
      <c r="D12" s="4" t="n"/>
      <c r="E12" s="4" t="n"/>
      <c r="F12" s="4" t="n"/>
      <c r="G12" s="15">
        <f>IF(COUNT(B12:F12)=0,"",B12*Settings!$B$6+C12*Settings!$B$7+D12*Settings!$B$8+E12*Settings!$B$9+F12*Settings!$B$10)</f>
        <v/>
      </c>
      <c r="H12" s="15">
        <f>IF(A12="","",Stats!X12)</f>
        <v/>
      </c>
      <c r="I12" s="16">
        <f>IF(G12="","",G12-H12)</f>
        <v/>
      </c>
      <c r="J12" s="4" t="n"/>
      <c r="K12" s="4" t="n"/>
      <c r="L12" s="4" t="n"/>
    </row>
    <row r="13">
      <c r="A13" s="4">
        <f>Stats!A13</f>
        <v/>
      </c>
      <c r="B13" s="4" t="n"/>
      <c r="C13" s="4" t="n"/>
      <c r="D13" s="4" t="n"/>
      <c r="E13" s="4" t="n"/>
      <c r="F13" s="4" t="n"/>
      <c r="G13" s="15">
        <f>IF(COUNT(B13:F13)=0,"",B13*Settings!$B$6+C13*Settings!$B$7+D13*Settings!$B$8+E13*Settings!$B$9+F13*Settings!$B$10)</f>
        <v/>
      </c>
      <c r="H13" s="15">
        <f>IF(A13="","",Stats!X13)</f>
        <v/>
      </c>
      <c r="I13" s="16">
        <f>IF(G13="","",G13-H13)</f>
        <v/>
      </c>
      <c r="J13" s="4" t="n"/>
      <c r="K13" s="4" t="n"/>
      <c r="L13" s="4" t="n"/>
    </row>
    <row r="14">
      <c r="A14" s="4">
        <f>Stats!A14</f>
        <v/>
      </c>
      <c r="B14" s="4" t="n"/>
      <c r="C14" s="4" t="n"/>
      <c r="D14" s="4" t="n"/>
      <c r="E14" s="4" t="n"/>
      <c r="F14" s="4" t="n"/>
      <c r="G14" s="15">
        <f>IF(COUNT(B14:F14)=0,"",B14*Settings!$B$6+C14*Settings!$B$7+D14*Settings!$B$8+E14*Settings!$B$9+F14*Settings!$B$10)</f>
        <v/>
      </c>
      <c r="H14" s="15">
        <f>IF(A14="","",Stats!X14)</f>
        <v/>
      </c>
      <c r="I14" s="16">
        <f>IF(G14="","",G14-H14)</f>
        <v/>
      </c>
      <c r="J14" s="4" t="n"/>
      <c r="K14" s="4" t="n"/>
      <c r="L14" s="4" t="n"/>
    </row>
    <row r="15">
      <c r="A15" s="4">
        <f>Stats!A15</f>
        <v/>
      </c>
      <c r="B15" s="4" t="n"/>
      <c r="C15" s="4" t="n"/>
      <c r="D15" s="4" t="n"/>
      <c r="E15" s="4" t="n"/>
      <c r="F15" s="4" t="n"/>
      <c r="G15" s="15">
        <f>IF(COUNT(B15:F15)=0,"",B15*Settings!$B$6+C15*Settings!$B$7+D15*Settings!$B$8+E15*Settings!$B$9+F15*Settings!$B$10)</f>
        <v/>
      </c>
      <c r="H15" s="15">
        <f>IF(A15="","",Stats!X15)</f>
        <v/>
      </c>
      <c r="I15" s="16">
        <f>IF(G15="","",G15-H15)</f>
        <v/>
      </c>
      <c r="J15" s="4" t="n"/>
      <c r="K15" s="4" t="n"/>
      <c r="L15" s="4" t="n"/>
    </row>
    <row r="16">
      <c r="A16" s="4">
        <f>Stats!A16</f>
        <v/>
      </c>
      <c r="B16" s="4" t="n"/>
      <c r="C16" s="4" t="n"/>
      <c r="D16" s="4" t="n"/>
      <c r="E16" s="4" t="n"/>
      <c r="F16" s="4" t="n"/>
      <c r="G16" s="15">
        <f>IF(COUNT(B16:F16)=0,"",B16*Settings!$B$6+C16*Settings!$B$7+D16*Settings!$B$8+E16*Settings!$B$9+F16*Settings!$B$10)</f>
        <v/>
      </c>
      <c r="H16" s="15">
        <f>IF(A16="","",Stats!X16)</f>
        <v/>
      </c>
      <c r="I16" s="16">
        <f>IF(G16="","",G16-H16)</f>
        <v/>
      </c>
      <c r="J16" s="4" t="n"/>
      <c r="K16" s="4" t="n"/>
      <c r="L16" s="4" t="n"/>
    </row>
    <row r="17">
      <c r="A17" s="4">
        <f>Stats!A17</f>
        <v/>
      </c>
      <c r="B17" s="4" t="n"/>
      <c r="C17" s="4" t="n"/>
      <c r="D17" s="4" t="n"/>
      <c r="E17" s="4" t="n"/>
      <c r="F17" s="4" t="n"/>
      <c r="G17" s="15">
        <f>IF(COUNT(B17:F17)=0,"",B17*Settings!$B$6+C17*Settings!$B$7+D17*Settings!$B$8+E17*Settings!$B$9+F17*Settings!$B$10)</f>
        <v/>
      </c>
      <c r="H17" s="15">
        <f>IF(A17="","",Stats!X17)</f>
        <v/>
      </c>
      <c r="I17" s="16">
        <f>IF(G17="","",G17-H17)</f>
        <v/>
      </c>
      <c r="J17" s="4" t="n"/>
      <c r="K17" s="4" t="n"/>
      <c r="L17" s="4" t="n"/>
    </row>
    <row r="18">
      <c r="A18" s="4">
        <f>Stats!A18</f>
        <v/>
      </c>
      <c r="B18" s="4" t="n"/>
      <c r="C18" s="4" t="n"/>
      <c r="D18" s="4" t="n"/>
      <c r="E18" s="4" t="n"/>
      <c r="F18" s="4" t="n"/>
      <c r="G18" s="15">
        <f>IF(COUNT(B18:F18)=0,"",B18*Settings!$B$6+C18*Settings!$B$7+D18*Settings!$B$8+E18*Settings!$B$9+F18*Settings!$B$10)</f>
        <v/>
      </c>
      <c r="H18" s="15">
        <f>IF(A18="","",Stats!X18)</f>
        <v/>
      </c>
      <c r="I18" s="16">
        <f>IF(G18="","",G18-H18)</f>
        <v/>
      </c>
      <c r="J18" s="4" t="n"/>
      <c r="K18" s="4" t="n"/>
      <c r="L18" s="4" t="n"/>
    </row>
    <row r="19">
      <c r="A19" s="4">
        <f>Stats!A19</f>
        <v/>
      </c>
      <c r="B19" s="4" t="n"/>
      <c r="C19" s="4" t="n"/>
      <c r="D19" s="4" t="n"/>
      <c r="E19" s="4" t="n"/>
      <c r="F19" s="4" t="n"/>
      <c r="G19" s="15">
        <f>IF(COUNT(B19:F19)=0,"",B19*Settings!$B$6+C19*Settings!$B$7+D19*Settings!$B$8+E19*Settings!$B$9+F19*Settings!$B$10)</f>
        <v/>
      </c>
      <c r="H19" s="15">
        <f>IF(A19="","",Stats!X19)</f>
        <v/>
      </c>
      <c r="I19" s="16">
        <f>IF(G19="","",G19-H19)</f>
        <v/>
      </c>
      <c r="J19" s="4" t="n"/>
      <c r="K19" s="4" t="n"/>
      <c r="L19" s="4" t="n"/>
    </row>
    <row r="20">
      <c r="A20" s="4">
        <f>Stats!A20</f>
        <v/>
      </c>
      <c r="B20" s="4" t="n"/>
      <c r="C20" s="4" t="n"/>
      <c r="D20" s="4" t="n"/>
      <c r="E20" s="4" t="n"/>
      <c r="F20" s="4" t="n"/>
      <c r="G20" s="15">
        <f>IF(COUNT(B20:F20)=0,"",B20*Settings!$B$6+C20*Settings!$B$7+D20*Settings!$B$8+E20*Settings!$B$9+F20*Settings!$B$10)</f>
        <v/>
      </c>
      <c r="H20" s="15">
        <f>IF(A20="","",Stats!X20)</f>
        <v/>
      </c>
      <c r="I20" s="16">
        <f>IF(G20="","",G20-H20)</f>
        <v/>
      </c>
      <c r="J20" s="4" t="n"/>
      <c r="K20" s="4" t="n"/>
      <c r="L20" s="4" t="n"/>
    </row>
    <row r="21">
      <c r="A21" s="4">
        <f>Stats!A21</f>
        <v/>
      </c>
      <c r="B21" s="4" t="n"/>
      <c r="C21" s="4" t="n"/>
      <c r="D21" s="4" t="n"/>
      <c r="E21" s="4" t="n"/>
      <c r="F21" s="4" t="n"/>
      <c r="G21" s="15">
        <f>IF(COUNT(B21:F21)=0,"",B21*Settings!$B$6+C21*Settings!$B$7+D21*Settings!$B$8+E21*Settings!$B$9+F21*Settings!$B$10)</f>
        <v/>
      </c>
      <c r="H21" s="15">
        <f>IF(A21="","",Stats!X21)</f>
        <v/>
      </c>
      <c r="I21" s="16">
        <f>IF(G21="","",G21-H21)</f>
        <v/>
      </c>
      <c r="J21" s="4" t="n"/>
      <c r="K21" s="4" t="n"/>
      <c r="L21" s="4" t="n"/>
    </row>
    <row r="22">
      <c r="A22" s="4">
        <f>Stats!A22</f>
        <v/>
      </c>
      <c r="B22" s="4" t="n"/>
      <c r="C22" s="4" t="n"/>
      <c r="D22" s="4" t="n"/>
      <c r="E22" s="4" t="n"/>
      <c r="F22" s="4" t="n"/>
      <c r="G22" s="15">
        <f>IF(COUNT(B22:F22)=0,"",B22*Settings!$B$6+C22*Settings!$B$7+D22*Settings!$B$8+E22*Settings!$B$9+F22*Settings!$B$10)</f>
        <v/>
      </c>
      <c r="H22" s="15">
        <f>IF(A22="","",Stats!X22)</f>
        <v/>
      </c>
      <c r="I22" s="16">
        <f>IF(G22="","",G22-H22)</f>
        <v/>
      </c>
      <c r="J22" s="4" t="n"/>
      <c r="K22" s="4" t="n"/>
      <c r="L22" s="4" t="n"/>
    </row>
    <row r="23">
      <c r="A23" s="4">
        <f>Stats!A23</f>
        <v/>
      </c>
      <c r="B23" s="4" t="n"/>
      <c r="C23" s="4" t="n"/>
      <c r="D23" s="4" t="n"/>
      <c r="E23" s="4" t="n"/>
      <c r="F23" s="4" t="n"/>
      <c r="G23" s="15">
        <f>IF(COUNT(B23:F23)=0,"",B23*Settings!$B$6+C23*Settings!$B$7+D23*Settings!$B$8+E23*Settings!$B$9+F23*Settings!$B$10)</f>
        <v/>
      </c>
      <c r="H23" s="15">
        <f>IF(A23="","",Stats!X23)</f>
        <v/>
      </c>
      <c r="I23" s="16">
        <f>IF(G23="","",G23-H23)</f>
        <v/>
      </c>
      <c r="J23" s="4" t="n"/>
      <c r="K23" s="4" t="n"/>
      <c r="L23" s="4" t="n"/>
    </row>
    <row r="24">
      <c r="A24" s="4">
        <f>Stats!A24</f>
        <v/>
      </c>
      <c r="B24" s="4" t="n"/>
      <c r="C24" s="4" t="n"/>
      <c r="D24" s="4" t="n"/>
      <c r="E24" s="4" t="n"/>
      <c r="F24" s="4" t="n"/>
      <c r="G24" s="15">
        <f>IF(COUNT(B24:F24)=0,"",B24*Settings!$B$6+C24*Settings!$B$7+D24*Settings!$B$8+E24*Settings!$B$9+F24*Settings!$B$10)</f>
        <v/>
      </c>
      <c r="H24" s="15">
        <f>IF(A24="","",Stats!X24)</f>
        <v/>
      </c>
      <c r="I24" s="16">
        <f>IF(G24="","",G24-H24)</f>
        <v/>
      </c>
      <c r="J24" s="4" t="n"/>
      <c r="K24" s="4" t="n"/>
      <c r="L24" s="4" t="n"/>
    </row>
    <row r="25">
      <c r="A25" s="4">
        <f>Stats!A25</f>
        <v/>
      </c>
      <c r="B25" s="4" t="n"/>
      <c r="C25" s="4" t="n"/>
      <c r="D25" s="4" t="n"/>
      <c r="E25" s="4" t="n"/>
      <c r="F25" s="4" t="n"/>
      <c r="G25" s="15">
        <f>IF(COUNT(B25:F25)=0,"",B25*Settings!$B$6+C25*Settings!$B$7+D25*Settings!$B$8+E25*Settings!$B$9+F25*Settings!$B$10)</f>
        <v/>
      </c>
      <c r="H25" s="15">
        <f>IF(A25="","",Stats!X25)</f>
        <v/>
      </c>
      <c r="I25" s="16">
        <f>IF(G25="","",G25-H25)</f>
        <v/>
      </c>
      <c r="J25" s="4" t="n"/>
      <c r="K25" s="4" t="n"/>
      <c r="L25" s="4" t="n"/>
    </row>
    <row r="26">
      <c r="A26" s="4">
        <f>Stats!A26</f>
        <v/>
      </c>
      <c r="B26" s="4" t="n"/>
      <c r="C26" s="4" t="n"/>
      <c r="D26" s="4" t="n"/>
      <c r="E26" s="4" t="n"/>
      <c r="F26" s="4" t="n"/>
      <c r="G26" s="15">
        <f>IF(COUNT(B26:F26)=0,"",B26*Settings!$B$6+C26*Settings!$B$7+D26*Settings!$B$8+E26*Settings!$B$9+F26*Settings!$B$10)</f>
        <v/>
      </c>
      <c r="H26" s="15">
        <f>IF(A26="","",Stats!X26)</f>
        <v/>
      </c>
      <c r="I26" s="16">
        <f>IF(G26="","",G26-H26)</f>
        <v/>
      </c>
      <c r="J26" s="4" t="n"/>
      <c r="K26" s="4" t="n"/>
      <c r="L26" s="4" t="n"/>
    </row>
  </sheetData>
  <conditionalFormatting sqref="B2:F26">
    <cfRule type="expression" priority="1" dxfId="3">
      <formula>TRUE</formula>
    </cfRule>
  </conditionalFormatting>
  <conditionalFormatting sqref="I2:I26">
    <cfRule type="expression" priority="2" dxfId="1">
      <formula>AND(ISNUMBER($I2),$I2&gt;0)</formula>
    </cfRule>
    <cfRule type="expression" priority="3" dxfId="2">
      <formula>AND(ISNUMBER($I2),$I2&lt;0)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8" customWidth="1" min="4" max="4"/>
  </cols>
  <sheetData>
    <row r="1">
      <c r="A1" s="17" t="inlineStr">
        <is>
          <t>Settings</t>
        </is>
      </c>
      <c r="B1" s="4" t="n"/>
      <c r="C1" s="4" t="n"/>
      <c r="D1" s="4" t="n"/>
    </row>
    <row r="2">
      <c r="A2" s="4" t="n"/>
      <c r="B2" s="4" t="n"/>
      <c r="C2" s="4" t="n"/>
      <c r="D2" s="4" t="n"/>
    </row>
    <row r="3">
      <c r="A3" s="4" t="inlineStr">
        <is>
          <t>Standard buy-in</t>
        </is>
      </c>
      <c r="B3" s="18" t="n">
        <v>20</v>
      </c>
      <c r="C3" s="4" t="n"/>
      <c r="D3" s="4" t="n"/>
    </row>
    <row r="4">
      <c r="A4" s="4" t="n"/>
      <c r="B4" s="4" t="n"/>
      <c r="C4" s="4" t="n"/>
      <c r="D4" s="4" t="n"/>
    </row>
    <row r="5">
      <c r="A5" s="8" t="inlineStr">
        <is>
          <t>Chip colour</t>
        </is>
      </c>
      <c r="B5" s="8" t="inlineStr">
        <is>
          <t>Value</t>
        </is>
      </c>
      <c r="C5" s="8" t="inlineStr">
        <is>
          <t>Chips per buy-in</t>
        </is>
      </c>
      <c r="D5" s="8" t="inlineStr">
        <is>
          <t>Value per buy-in</t>
        </is>
      </c>
    </row>
    <row r="6">
      <c r="A6" s="4" t="inlineStr">
        <is>
          <t>White</t>
        </is>
      </c>
      <c r="B6" s="18" t="n">
        <v>0.1</v>
      </c>
      <c r="C6" s="19" t="n">
        <v>10</v>
      </c>
      <c r="D6" s="15">
        <f>B6*C6</f>
        <v/>
      </c>
    </row>
    <row r="7">
      <c r="A7" s="4" t="inlineStr">
        <is>
          <t>Red</t>
        </is>
      </c>
      <c r="B7" s="18" t="n">
        <v>0.2</v>
      </c>
      <c r="C7" s="19" t="n">
        <v>10</v>
      </c>
      <c r="D7" s="15">
        <f>B7*C7</f>
        <v/>
      </c>
    </row>
    <row r="8">
      <c r="A8" s="4" t="inlineStr">
        <is>
          <t>Green</t>
        </is>
      </c>
      <c r="B8" s="18" t="n">
        <v>0.5</v>
      </c>
      <c r="C8" s="19" t="n">
        <v>4</v>
      </c>
      <c r="D8" s="15">
        <f>B8*C8</f>
        <v/>
      </c>
    </row>
    <row r="9">
      <c r="A9" s="4" t="inlineStr">
        <is>
          <t>Purple</t>
        </is>
      </c>
      <c r="B9" s="18" t="n">
        <v>1</v>
      </c>
      <c r="C9" s="19" t="n">
        <v>10</v>
      </c>
      <c r="D9" s="15">
        <f>B9*C9</f>
        <v/>
      </c>
    </row>
    <row r="10">
      <c r="A10" s="4" t="inlineStr">
        <is>
          <t>Blue</t>
        </is>
      </c>
      <c r="B10" s="18" t="n">
        <v>5</v>
      </c>
      <c r="C10" s="19" t="n">
        <v>1</v>
      </c>
      <c r="D10" s="15">
        <f>B10*C10</f>
        <v/>
      </c>
    </row>
    <row r="11">
      <c r="A11" s="20" t="inlineStr">
        <is>
          <t>Starting stack</t>
        </is>
      </c>
      <c r="B11" s="4" t="n"/>
      <c r="C11" s="20">
        <f>SUM(C6:C10)</f>
        <v/>
      </c>
      <c r="D11" s="21">
        <f>SUM(D6:D10)</f>
        <v/>
      </c>
    </row>
    <row r="12">
      <c r="A12" s="4">
        <f>IF(ABS(D11-B3)&lt;0.005,"The stack matches the buy-in.","The stack is worth "&amp;TEXT(D11,"$0.00")&amp;" but the buy-in is "&amp;TEXT(B3,"$0.00")&amp;".")</f>
        <v/>
      </c>
      <c r="B12" s="4" t="n"/>
      <c r="C12" s="4" t="n"/>
      <c r="D12" s="4" t="n"/>
    </row>
    <row r="13">
      <c r="A13" s="22" t="inlineStr">
        <is>
          <t>Source: chip values and stack from the host, 17 Oct 2026.</t>
        </is>
      </c>
      <c r="B13" s="4" t="n"/>
      <c r="C13" s="4" t="n"/>
      <c r="D13" s="4" t="n"/>
    </row>
    <row r="14">
      <c r="A14" s="8" t="inlineStr">
        <is>
          <t>Groups (type the names)</t>
        </is>
      </c>
      <c r="B14" s="4" t="n"/>
      <c r="C14" s="4" t="n"/>
      <c r="D14" s="4" t="n"/>
    </row>
  </sheetData>
  <conditionalFormatting sqref="A15:A22">
    <cfRule type="expression" priority="1" dxfId="3">
      <formula>TRUE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Name</t>
        </is>
      </c>
      <c r="B1" s="8" t="inlineStr">
        <is>
          <t>Group</t>
        </is>
      </c>
      <c r="C1" s="8" t="inlineStr">
        <is>
          <t>FIFA</t>
        </is>
      </c>
      <c r="D1" s="8" t="inlineStr">
        <is>
          <t>P</t>
        </is>
      </c>
      <c r="E1" s="8" t="inlineStr">
        <is>
          <t>W</t>
        </is>
      </c>
      <c r="F1" s="8" t="inlineStr">
        <is>
          <t>D</t>
        </is>
      </c>
      <c r="G1" s="8" t="inlineStr">
        <is>
          <t>L</t>
        </is>
      </c>
      <c r="H1" s="8" t="inlineStr">
        <is>
          <t>GF</t>
        </is>
      </c>
      <c r="I1" s="8" t="inlineStr">
        <is>
          <t>GA</t>
        </is>
      </c>
      <c r="J1" s="8" t="inlineStr">
        <is>
          <t>GD</t>
        </is>
      </c>
      <c r="K1" s="8" t="inlineStr">
        <is>
          <t>Pts</t>
        </is>
      </c>
      <c r="L1" s="8" t="inlineStr">
        <is>
          <t>Overall sort key</t>
        </is>
      </c>
      <c r="M1" s="8" t="inlineStr">
        <is>
          <t>Group P</t>
        </is>
      </c>
      <c r="N1" s="8" t="inlineStr">
        <is>
          <t>Group W</t>
        </is>
      </c>
      <c r="O1" s="8" t="inlineStr">
        <is>
          <t>Group D</t>
        </is>
      </c>
      <c r="P1" s="8" t="inlineStr">
        <is>
          <t>Group L</t>
        </is>
      </c>
      <c r="Q1" s="8" t="inlineStr">
        <is>
          <t>Group GF</t>
        </is>
      </c>
      <c r="R1" s="8" t="inlineStr">
        <is>
          <t>Group GA</t>
        </is>
      </c>
      <c r="S1" s="8" t="inlineStr">
        <is>
          <t>Group GD</t>
        </is>
      </c>
      <c r="T1" s="8" t="inlineStr">
        <is>
          <t>Group Pts</t>
        </is>
      </c>
      <c r="U1" s="8" t="inlineStr">
        <is>
          <t>Group no.</t>
        </is>
      </c>
      <c r="V1" s="8" t="inlineStr">
        <is>
          <t>Group sort key</t>
        </is>
      </c>
      <c r="W1" s="8" t="inlineStr">
        <is>
          <t>Buy-ins</t>
        </is>
      </c>
      <c r="X1" s="8" t="inlineStr">
        <is>
          <t>Paid in</t>
        </is>
      </c>
      <c r="Y1" s="8" t="inlineStr">
        <is>
          <t>Cash out</t>
        </is>
      </c>
      <c r="Z1" s="8" t="inlineStr">
        <is>
          <t>Net</t>
        </is>
      </c>
      <c r="AA1" s="8" t="inlineStr">
        <is>
          <t>Poker sort key</t>
        </is>
      </c>
      <c r="AB1" s="4" t="n"/>
      <c r="AC1" s="23" t="inlineStr">
        <is>
          <t>Helper calculations for the Leaderboard. Nothing to fill in here.</t>
        </is>
      </c>
    </row>
    <row r="2">
      <c r="A2" s="4">
        <f>IF(TRIM(Players!A2)="","",TRIM(Players!A2))</f>
        <v/>
      </c>
      <c r="B2" s="4">
        <f>IF($A2="","",Players!B2&amp;"")</f>
        <v/>
      </c>
      <c r="C2" s="4">
        <f>Players!E2&amp;""</f>
        <v/>
      </c>
      <c r="D2" s="4">
        <f>IF($A2="",0,COUNTIFS(Matches!$C:$C,$A2,Matches!$I:$I,"Final",Matches!$A:$A,"&lt;&gt;Friendly")+COUNTIFS(Matches!$H:$H,$A2,Matches!$I:$I,"Final",Matches!$A:$A,"&lt;&gt;Friendly"))</f>
        <v/>
      </c>
      <c r="E2" s="4">
        <f>IF($A2="",0,COUNTIFS(Matches!$K:$K,$A2,Matches!$A:$A,"&lt;&gt;Friendly"))</f>
        <v/>
      </c>
      <c r="F2" s="4">
        <f>IF($A2="",0,COUNTIFS(Matches!$C:$C,$A2,Matches!$K:$K,"Draw",Matches!$A:$A,"&lt;&gt;Friendly")+COUNTIFS(Matches!$H:$H,$A2,Matches!$K:$K,"Draw",Matches!$A:$A,"&lt;&gt;Friendly"))</f>
        <v/>
      </c>
      <c r="G2" s="4">
        <f>D2-E2-F2</f>
        <v/>
      </c>
      <c r="H2" s="4">
        <f>IF($A2="",0,SUMIFS(Matches!$E:$E,Matches!$C:$C,$A2,Matches!$I:$I,"Final",Matches!$A:$A,"&lt;&gt;Friendly")+SUMIFS(Matches!$F:$F,Matches!$H:$H,$A2,Matches!$I:$I,"Final",Matches!$A:$A,"&lt;&gt;Friendly"))</f>
        <v/>
      </c>
      <c r="I2" s="4">
        <f>IF($A2="",0,SUMIFS(Matches!$F:$F,Matches!$C:$C,$A2,Matches!$I:$I,"Final",Matches!$A:$A,"&lt;&gt;Friendly")+SUMIFS(Matches!$E:$E,Matches!$H:$H,$A2,Matches!$I:$I,"Final",Matches!$A:$A,"&lt;&gt;Friendly"))</f>
        <v/>
      </c>
      <c r="J2" s="4">
        <f>H2-I2</f>
        <v/>
      </c>
      <c r="K2" s="4">
        <f>3*E2+F2</f>
        <v/>
      </c>
      <c r="L2" s="4">
        <f>IF(AND($A2&lt;&gt;"",OR($C2="Yes",D2&gt;0)),K2*1000000+(MAX(-499,MIN(499,J2))+500)*1000+MIN(H2,99)*10+(50-ROW())/10,-1)</f>
        <v/>
      </c>
      <c r="M2" s="4">
        <f>IF($B2="",0,COUNTIFS(Matches!$C:$C,$A2,Matches!$I:$I,"Final",Matches!$A:$A,"Group",Matches!$L:$L,$B2)+COUNTIFS(Matches!$H:$H,$A2,Matches!$I:$I,"Final",Matches!$A:$A,"Group",Matches!$L:$L,$B2))</f>
        <v/>
      </c>
      <c r="N2" s="4">
        <f>IF($B2="",0,COUNTIFS(Matches!$K:$K,$A2,Matches!$A:$A,"Group",Matches!$L:$L,$B2))</f>
        <v/>
      </c>
      <c r="O2" s="4">
        <f>IF($B2="",0,COUNTIFS(Matches!$C:$C,$A2,Matches!$K:$K,"Draw",Matches!$A:$A,"Group",Matches!$L:$L,$B2)+COUNTIFS(Matches!$H:$H,$A2,Matches!$K:$K,"Draw",Matches!$A:$A,"Group",Matches!$L:$L,$B2))</f>
        <v/>
      </c>
      <c r="P2" s="4">
        <f>M2-N2-O2</f>
        <v/>
      </c>
      <c r="Q2" s="4">
        <f>IF($B2="",0,SUMIFS(Matches!$E:$E,Matches!$C:$C,$A2,Matches!$I:$I,"Final",Matches!$A:$A,"Group",Matches!$L:$L,$B2)+SUMIFS(Matches!$F:$F,Matches!$H:$H,$A2,Matches!$I:$I,"Final",Matches!$A:$A,"Group",Matches!$L:$L,$B2))</f>
        <v/>
      </c>
      <c r="R2" s="4">
        <f>IF($B2="",0,SUMIFS(Matches!$F:$F,Matches!$C:$C,$A2,Matches!$I:$I,"Final",Matches!$A:$A,"Group",Matches!$L:$L,$B2)+SUMIFS(Matches!$E:$E,Matches!$H:$H,$A2,Matches!$I:$I,"Final",Matches!$A:$A,"Group",Matches!$L:$L,$B2))</f>
        <v/>
      </c>
      <c r="S2" s="4">
        <f>Q2-R2</f>
        <v/>
      </c>
      <c r="T2" s="4">
        <f>3*N2+O2</f>
        <v/>
      </c>
      <c r="U2" s="4">
        <f>IF($B2="",0,IFERROR(MATCH($B2,Settings!$A$15:$A$22,0),0))</f>
        <v/>
      </c>
      <c r="V2" s="4">
        <f>IF(OR($A2="",U2=0),-1,U2*1000000000+T2*1000000+(MAX(-499,MIN(499,S2))+500)*1000+MIN(Q2,99)*10+(50-ROW())/10)</f>
        <v/>
      </c>
      <c r="W2" s="4">
        <f>IF($A2="",0,COUNTIF('Buy-ins'!$B:$B,$A2))</f>
        <v/>
      </c>
      <c r="X2" s="15">
        <f>IF($A2="",0,SUMIF('Buy-ins'!$B:$B,$A2,'Buy-ins'!$C:$C)+Settings!$B$3*COUNTIFS('Buy-ins'!$B:$B,$A2,'Buy-ins'!$C:$C,""))</f>
        <v/>
      </c>
      <c r="Y2" s="15">
        <f>IF($A2="","",'Cash-out'!G2)</f>
        <v/>
      </c>
      <c r="Z2" s="15">
        <f>IF(OR($A2="",Y2=""),"",Y2-X2)</f>
        <v/>
      </c>
      <c r="AA2" s="4">
        <f>IF(X2=0,-1,(IF(Z2="",0,Z2)+100000)*1000000+ROUND(X2*10,0)*10+(50-ROW())/10)</f>
        <v/>
      </c>
      <c r="AB2" s="4" t="n"/>
      <c r="AC2" s="4" t="n"/>
    </row>
    <row r="3">
      <c r="A3" s="4">
        <f>IF(TRIM(Players!A3)="","",TRIM(Players!A3))</f>
        <v/>
      </c>
      <c r="B3" s="4">
        <f>IF($A3="","",Players!B3&amp;"")</f>
        <v/>
      </c>
      <c r="C3" s="4">
        <f>Players!E3&amp;""</f>
        <v/>
      </c>
      <c r="D3" s="4">
        <f>IF($A3="",0,COUNTIFS(Matches!$C:$C,$A3,Matches!$I:$I,"Final",Matches!$A:$A,"&lt;&gt;Friendly")+COUNTIFS(Matches!$H:$H,$A3,Matches!$I:$I,"Final",Matches!$A:$A,"&lt;&gt;Friendly"))</f>
        <v/>
      </c>
      <c r="E3" s="4">
        <f>IF($A3="",0,COUNTIFS(Matches!$K:$K,$A3,Matches!$A:$A,"&lt;&gt;Friendly"))</f>
        <v/>
      </c>
      <c r="F3" s="4">
        <f>IF($A3="",0,COUNTIFS(Matches!$C:$C,$A3,Matches!$K:$K,"Draw",Matches!$A:$A,"&lt;&gt;Friendly")+COUNTIFS(Matches!$H:$H,$A3,Matches!$K:$K,"Draw",Matches!$A:$A,"&lt;&gt;Friendly"))</f>
        <v/>
      </c>
      <c r="G3" s="4">
        <f>D3-E3-F3</f>
        <v/>
      </c>
      <c r="H3" s="4">
        <f>IF($A3="",0,SUMIFS(Matches!$E:$E,Matches!$C:$C,$A3,Matches!$I:$I,"Final",Matches!$A:$A,"&lt;&gt;Friendly")+SUMIFS(Matches!$F:$F,Matches!$H:$H,$A3,Matches!$I:$I,"Final",Matches!$A:$A,"&lt;&gt;Friendly"))</f>
        <v/>
      </c>
      <c r="I3" s="4">
        <f>IF($A3="",0,SUMIFS(Matches!$F:$F,Matches!$C:$C,$A3,Matches!$I:$I,"Final",Matches!$A:$A,"&lt;&gt;Friendly")+SUMIFS(Matches!$E:$E,Matches!$H:$H,$A3,Matches!$I:$I,"Final",Matches!$A:$A,"&lt;&gt;Friendly"))</f>
        <v/>
      </c>
      <c r="J3" s="4">
        <f>H3-I3</f>
        <v/>
      </c>
      <c r="K3" s="4">
        <f>3*E3+F3</f>
        <v/>
      </c>
      <c r="L3" s="4">
        <f>IF(AND($A3&lt;&gt;"",OR($C3="Yes",D3&gt;0)),K3*1000000+(MAX(-499,MIN(499,J3))+500)*1000+MIN(H3,99)*10+(50-ROW())/10,-1)</f>
        <v/>
      </c>
      <c r="M3" s="4">
        <f>IF($B3="",0,COUNTIFS(Matches!$C:$C,$A3,Matches!$I:$I,"Final",Matches!$A:$A,"Group",Matches!$L:$L,$B3)+COUNTIFS(Matches!$H:$H,$A3,Matches!$I:$I,"Final",Matches!$A:$A,"Group",Matches!$L:$L,$B3))</f>
        <v/>
      </c>
      <c r="N3" s="4">
        <f>IF($B3="",0,COUNTIFS(Matches!$K:$K,$A3,Matches!$A:$A,"Group",Matches!$L:$L,$B3))</f>
        <v/>
      </c>
      <c r="O3" s="4">
        <f>IF($B3="",0,COUNTIFS(Matches!$C:$C,$A3,Matches!$K:$K,"Draw",Matches!$A:$A,"Group",Matches!$L:$L,$B3)+COUNTIFS(Matches!$H:$H,$A3,Matches!$K:$K,"Draw",Matches!$A:$A,"Group",Matches!$L:$L,$B3))</f>
        <v/>
      </c>
      <c r="P3" s="4">
        <f>M3-N3-O3</f>
        <v/>
      </c>
      <c r="Q3" s="4">
        <f>IF($B3="",0,SUMIFS(Matches!$E:$E,Matches!$C:$C,$A3,Matches!$I:$I,"Final",Matches!$A:$A,"Group",Matches!$L:$L,$B3)+SUMIFS(Matches!$F:$F,Matches!$H:$H,$A3,Matches!$I:$I,"Final",Matches!$A:$A,"Group",Matches!$L:$L,$B3))</f>
        <v/>
      </c>
      <c r="R3" s="4">
        <f>IF($B3="",0,SUMIFS(Matches!$F:$F,Matches!$C:$C,$A3,Matches!$I:$I,"Final",Matches!$A:$A,"Group",Matches!$L:$L,$B3)+SUMIFS(Matches!$E:$E,Matches!$H:$H,$A3,Matches!$I:$I,"Final",Matches!$A:$A,"Group",Matches!$L:$L,$B3))</f>
        <v/>
      </c>
      <c r="S3" s="4">
        <f>Q3-R3</f>
        <v/>
      </c>
      <c r="T3" s="4">
        <f>3*N3+O3</f>
        <v/>
      </c>
      <c r="U3" s="4">
        <f>IF($B3="",0,IFERROR(MATCH($B3,Settings!$A$15:$A$22,0),0))</f>
        <v/>
      </c>
      <c r="V3" s="4">
        <f>IF(OR($A3="",U3=0),-1,U3*1000000000+T3*1000000+(MAX(-499,MIN(499,S3))+500)*1000+MIN(Q3,99)*10+(50-ROW())/10)</f>
        <v/>
      </c>
      <c r="W3" s="4">
        <f>IF($A3="",0,COUNTIF('Buy-ins'!$B:$B,$A3))</f>
        <v/>
      </c>
      <c r="X3" s="15">
        <f>IF($A3="",0,SUMIF('Buy-ins'!$B:$B,$A3,'Buy-ins'!$C:$C)+Settings!$B$3*COUNTIFS('Buy-ins'!$B:$B,$A3,'Buy-ins'!$C:$C,""))</f>
        <v/>
      </c>
      <c r="Y3" s="15">
        <f>IF($A3="","",'Cash-out'!G3)</f>
        <v/>
      </c>
      <c r="Z3" s="15">
        <f>IF(OR($A3="",Y3=""),"",Y3-X3)</f>
        <v/>
      </c>
      <c r="AA3" s="4">
        <f>IF(X3=0,-1,(IF(Z3="",0,Z3)+100000)*1000000+ROUND(X3*10,0)*10+(50-ROW())/10)</f>
        <v/>
      </c>
      <c r="AB3" s="4" t="n"/>
      <c r="AC3" s="4" t="n"/>
    </row>
    <row r="4">
      <c r="A4" s="4">
        <f>IF(TRIM(Players!A4)="","",TRIM(Players!A4))</f>
        <v/>
      </c>
      <c r="B4" s="4">
        <f>IF($A4="","",Players!B4&amp;"")</f>
        <v/>
      </c>
      <c r="C4" s="4">
        <f>Players!E4&amp;""</f>
        <v/>
      </c>
      <c r="D4" s="4">
        <f>IF($A4="",0,COUNTIFS(Matches!$C:$C,$A4,Matches!$I:$I,"Final",Matches!$A:$A,"&lt;&gt;Friendly")+COUNTIFS(Matches!$H:$H,$A4,Matches!$I:$I,"Final",Matches!$A:$A,"&lt;&gt;Friendly"))</f>
        <v/>
      </c>
      <c r="E4" s="4">
        <f>IF($A4="",0,COUNTIFS(Matches!$K:$K,$A4,Matches!$A:$A,"&lt;&gt;Friendly"))</f>
        <v/>
      </c>
      <c r="F4" s="4">
        <f>IF($A4="",0,COUNTIFS(Matches!$C:$C,$A4,Matches!$K:$K,"Draw",Matches!$A:$A,"&lt;&gt;Friendly")+COUNTIFS(Matches!$H:$H,$A4,Matches!$K:$K,"Draw",Matches!$A:$A,"&lt;&gt;Friendly"))</f>
        <v/>
      </c>
      <c r="G4" s="4">
        <f>D4-E4-F4</f>
        <v/>
      </c>
      <c r="H4" s="4">
        <f>IF($A4="",0,SUMIFS(Matches!$E:$E,Matches!$C:$C,$A4,Matches!$I:$I,"Final",Matches!$A:$A,"&lt;&gt;Friendly")+SUMIFS(Matches!$F:$F,Matches!$H:$H,$A4,Matches!$I:$I,"Final",Matches!$A:$A,"&lt;&gt;Friendly"))</f>
        <v/>
      </c>
      <c r="I4" s="4">
        <f>IF($A4="",0,SUMIFS(Matches!$F:$F,Matches!$C:$C,$A4,Matches!$I:$I,"Final",Matches!$A:$A,"&lt;&gt;Friendly")+SUMIFS(Matches!$E:$E,Matches!$H:$H,$A4,Matches!$I:$I,"Final",Matches!$A:$A,"&lt;&gt;Friendly"))</f>
        <v/>
      </c>
      <c r="J4" s="4">
        <f>H4-I4</f>
        <v/>
      </c>
      <c r="K4" s="4">
        <f>3*E4+F4</f>
        <v/>
      </c>
      <c r="L4" s="4">
        <f>IF(AND($A4&lt;&gt;"",OR($C4="Yes",D4&gt;0)),K4*1000000+(MAX(-499,MIN(499,J4))+500)*1000+MIN(H4,99)*10+(50-ROW())/10,-1)</f>
        <v/>
      </c>
      <c r="M4" s="4">
        <f>IF($B4="",0,COUNTIFS(Matches!$C:$C,$A4,Matches!$I:$I,"Final",Matches!$A:$A,"Group",Matches!$L:$L,$B4)+COUNTIFS(Matches!$H:$H,$A4,Matches!$I:$I,"Final",Matches!$A:$A,"Group",Matches!$L:$L,$B4))</f>
        <v/>
      </c>
      <c r="N4" s="4">
        <f>IF($B4="",0,COUNTIFS(Matches!$K:$K,$A4,Matches!$A:$A,"Group",Matches!$L:$L,$B4))</f>
        <v/>
      </c>
      <c r="O4" s="4">
        <f>IF($B4="",0,COUNTIFS(Matches!$C:$C,$A4,Matches!$K:$K,"Draw",Matches!$A:$A,"Group",Matches!$L:$L,$B4)+COUNTIFS(Matches!$H:$H,$A4,Matches!$K:$K,"Draw",Matches!$A:$A,"Group",Matches!$L:$L,$B4))</f>
        <v/>
      </c>
      <c r="P4" s="4">
        <f>M4-N4-O4</f>
        <v/>
      </c>
      <c r="Q4" s="4">
        <f>IF($B4="",0,SUMIFS(Matches!$E:$E,Matches!$C:$C,$A4,Matches!$I:$I,"Final",Matches!$A:$A,"Group",Matches!$L:$L,$B4)+SUMIFS(Matches!$F:$F,Matches!$H:$H,$A4,Matches!$I:$I,"Final",Matches!$A:$A,"Group",Matches!$L:$L,$B4))</f>
        <v/>
      </c>
      <c r="R4" s="4">
        <f>IF($B4="",0,SUMIFS(Matches!$F:$F,Matches!$C:$C,$A4,Matches!$I:$I,"Final",Matches!$A:$A,"Group",Matches!$L:$L,$B4)+SUMIFS(Matches!$E:$E,Matches!$H:$H,$A4,Matches!$I:$I,"Final",Matches!$A:$A,"Group",Matches!$L:$L,$B4))</f>
        <v/>
      </c>
      <c r="S4" s="4">
        <f>Q4-R4</f>
        <v/>
      </c>
      <c r="T4" s="4">
        <f>3*N4+O4</f>
        <v/>
      </c>
      <c r="U4" s="4">
        <f>IF($B4="",0,IFERROR(MATCH($B4,Settings!$A$15:$A$22,0),0))</f>
        <v/>
      </c>
      <c r="V4" s="4">
        <f>IF(OR($A4="",U4=0),-1,U4*1000000000+T4*1000000+(MAX(-499,MIN(499,S4))+500)*1000+MIN(Q4,99)*10+(50-ROW())/10)</f>
        <v/>
      </c>
      <c r="W4" s="4">
        <f>IF($A4="",0,COUNTIF('Buy-ins'!$B:$B,$A4))</f>
        <v/>
      </c>
      <c r="X4" s="15">
        <f>IF($A4="",0,SUMIF('Buy-ins'!$B:$B,$A4,'Buy-ins'!$C:$C)+Settings!$B$3*COUNTIFS('Buy-ins'!$B:$B,$A4,'Buy-ins'!$C:$C,""))</f>
        <v/>
      </c>
      <c r="Y4" s="15">
        <f>IF($A4="","",'Cash-out'!G4)</f>
        <v/>
      </c>
      <c r="Z4" s="15">
        <f>IF(OR($A4="",Y4=""),"",Y4-X4)</f>
        <v/>
      </c>
      <c r="AA4" s="4">
        <f>IF(X4=0,-1,(IF(Z4="",0,Z4)+100000)*1000000+ROUND(X4*10,0)*10+(50-ROW())/10)</f>
        <v/>
      </c>
      <c r="AB4" s="4" t="n"/>
      <c r="AC4" s="4" t="n"/>
    </row>
    <row r="5">
      <c r="A5" s="4">
        <f>IF(TRIM(Players!A5)="","",TRIM(Players!A5))</f>
        <v/>
      </c>
      <c r="B5" s="4">
        <f>IF($A5="","",Players!B5&amp;"")</f>
        <v/>
      </c>
      <c r="C5" s="4">
        <f>Players!E5&amp;""</f>
        <v/>
      </c>
      <c r="D5" s="4">
        <f>IF($A5="",0,COUNTIFS(Matches!$C:$C,$A5,Matches!$I:$I,"Final",Matches!$A:$A,"&lt;&gt;Friendly")+COUNTIFS(Matches!$H:$H,$A5,Matches!$I:$I,"Final",Matches!$A:$A,"&lt;&gt;Friendly"))</f>
        <v/>
      </c>
      <c r="E5" s="4">
        <f>IF($A5="",0,COUNTIFS(Matches!$K:$K,$A5,Matches!$A:$A,"&lt;&gt;Friendly"))</f>
        <v/>
      </c>
      <c r="F5" s="4">
        <f>IF($A5="",0,COUNTIFS(Matches!$C:$C,$A5,Matches!$K:$K,"Draw",Matches!$A:$A,"&lt;&gt;Friendly")+COUNTIFS(Matches!$H:$H,$A5,Matches!$K:$K,"Draw",Matches!$A:$A,"&lt;&gt;Friendly"))</f>
        <v/>
      </c>
      <c r="G5" s="4">
        <f>D5-E5-F5</f>
        <v/>
      </c>
      <c r="H5" s="4">
        <f>IF($A5="",0,SUMIFS(Matches!$E:$E,Matches!$C:$C,$A5,Matches!$I:$I,"Final",Matches!$A:$A,"&lt;&gt;Friendly")+SUMIFS(Matches!$F:$F,Matches!$H:$H,$A5,Matches!$I:$I,"Final",Matches!$A:$A,"&lt;&gt;Friendly"))</f>
        <v/>
      </c>
      <c r="I5" s="4">
        <f>IF($A5="",0,SUMIFS(Matches!$F:$F,Matches!$C:$C,$A5,Matches!$I:$I,"Final",Matches!$A:$A,"&lt;&gt;Friendly")+SUMIFS(Matches!$E:$E,Matches!$H:$H,$A5,Matches!$I:$I,"Final",Matches!$A:$A,"&lt;&gt;Friendly"))</f>
        <v/>
      </c>
      <c r="J5" s="4">
        <f>H5-I5</f>
        <v/>
      </c>
      <c r="K5" s="4">
        <f>3*E5+F5</f>
        <v/>
      </c>
      <c r="L5" s="4">
        <f>IF(AND($A5&lt;&gt;"",OR($C5="Yes",D5&gt;0)),K5*1000000+(MAX(-499,MIN(499,J5))+500)*1000+MIN(H5,99)*10+(50-ROW())/10,-1)</f>
        <v/>
      </c>
      <c r="M5" s="4">
        <f>IF($B5="",0,COUNTIFS(Matches!$C:$C,$A5,Matches!$I:$I,"Final",Matches!$A:$A,"Group",Matches!$L:$L,$B5)+COUNTIFS(Matches!$H:$H,$A5,Matches!$I:$I,"Final",Matches!$A:$A,"Group",Matches!$L:$L,$B5))</f>
        <v/>
      </c>
      <c r="N5" s="4">
        <f>IF($B5="",0,COUNTIFS(Matches!$K:$K,$A5,Matches!$A:$A,"Group",Matches!$L:$L,$B5))</f>
        <v/>
      </c>
      <c r="O5" s="4">
        <f>IF($B5="",0,COUNTIFS(Matches!$C:$C,$A5,Matches!$K:$K,"Draw",Matches!$A:$A,"Group",Matches!$L:$L,$B5)+COUNTIFS(Matches!$H:$H,$A5,Matches!$K:$K,"Draw",Matches!$A:$A,"Group",Matches!$L:$L,$B5))</f>
        <v/>
      </c>
      <c r="P5" s="4">
        <f>M5-N5-O5</f>
        <v/>
      </c>
      <c r="Q5" s="4">
        <f>IF($B5="",0,SUMIFS(Matches!$E:$E,Matches!$C:$C,$A5,Matches!$I:$I,"Final",Matches!$A:$A,"Group",Matches!$L:$L,$B5)+SUMIFS(Matches!$F:$F,Matches!$H:$H,$A5,Matches!$I:$I,"Final",Matches!$A:$A,"Group",Matches!$L:$L,$B5))</f>
        <v/>
      </c>
      <c r="R5" s="4">
        <f>IF($B5="",0,SUMIFS(Matches!$F:$F,Matches!$C:$C,$A5,Matches!$I:$I,"Final",Matches!$A:$A,"Group",Matches!$L:$L,$B5)+SUMIFS(Matches!$E:$E,Matches!$H:$H,$A5,Matches!$I:$I,"Final",Matches!$A:$A,"Group",Matches!$L:$L,$B5))</f>
        <v/>
      </c>
      <c r="S5" s="4">
        <f>Q5-R5</f>
        <v/>
      </c>
      <c r="T5" s="4">
        <f>3*N5+O5</f>
        <v/>
      </c>
      <c r="U5" s="4">
        <f>IF($B5="",0,IFERROR(MATCH($B5,Settings!$A$15:$A$22,0),0))</f>
        <v/>
      </c>
      <c r="V5" s="4">
        <f>IF(OR($A5="",U5=0),-1,U5*1000000000+T5*1000000+(MAX(-499,MIN(499,S5))+500)*1000+MIN(Q5,99)*10+(50-ROW())/10)</f>
        <v/>
      </c>
      <c r="W5" s="4">
        <f>IF($A5="",0,COUNTIF('Buy-ins'!$B:$B,$A5))</f>
        <v/>
      </c>
      <c r="X5" s="15">
        <f>IF($A5="",0,SUMIF('Buy-ins'!$B:$B,$A5,'Buy-ins'!$C:$C)+Settings!$B$3*COUNTIFS('Buy-ins'!$B:$B,$A5,'Buy-ins'!$C:$C,""))</f>
        <v/>
      </c>
      <c r="Y5" s="15">
        <f>IF($A5="","",'Cash-out'!G5)</f>
        <v/>
      </c>
      <c r="Z5" s="15">
        <f>IF(OR($A5="",Y5=""),"",Y5-X5)</f>
        <v/>
      </c>
      <c r="AA5" s="4">
        <f>IF(X5=0,-1,(IF(Z5="",0,Z5)+100000)*1000000+ROUND(X5*10,0)*10+(50-ROW())/10)</f>
        <v/>
      </c>
      <c r="AB5" s="4" t="n"/>
      <c r="AC5" s="4" t="n"/>
    </row>
    <row r="6">
      <c r="A6" s="4">
        <f>IF(TRIM(Players!A6)="","",TRIM(Players!A6))</f>
        <v/>
      </c>
      <c r="B6" s="4">
        <f>IF($A6="","",Players!B6&amp;"")</f>
        <v/>
      </c>
      <c r="C6" s="4">
        <f>Players!E6&amp;""</f>
        <v/>
      </c>
      <c r="D6" s="4">
        <f>IF($A6="",0,COUNTIFS(Matches!$C:$C,$A6,Matches!$I:$I,"Final",Matches!$A:$A,"&lt;&gt;Friendly")+COUNTIFS(Matches!$H:$H,$A6,Matches!$I:$I,"Final",Matches!$A:$A,"&lt;&gt;Friendly"))</f>
        <v/>
      </c>
      <c r="E6" s="4">
        <f>IF($A6="",0,COUNTIFS(Matches!$K:$K,$A6,Matches!$A:$A,"&lt;&gt;Friendly"))</f>
        <v/>
      </c>
      <c r="F6" s="4">
        <f>IF($A6="",0,COUNTIFS(Matches!$C:$C,$A6,Matches!$K:$K,"Draw",Matches!$A:$A,"&lt;&gt;Friendly")+COUNTIFS(Matches!$H:$H,$A6,Matches!$K:$K,"Draw",Matches!$A:$A,"&lt;&gt;Friendly"))</f>
        <v/>
      </c>
      <c r="G6" s="4">
        <f>D6-E6-F6</f>
        <v/>
      </c>
      <c r="H6" s="4">
        <f>IF($A6="",0,SUMIFS(Matches!$E:$E,Matches!$C:$C,$A6,Matches!$I:$I,"Final",Matches!$A:$A,"&lt;&gt;Friendly")+SUMIFS(Matches!$F:$F,Matches!$H:$H,$A6,Matches!$I:$I,"Final",Matches!$A:$A,"&lt;&gt;Friendly"))</f>
        <v/>
      </c>
      <c r="I6" s="4">
        <f>IF($A6="",0,SUMIFS(Matches!$F:$F,Matches!$C:$C,$A6,Matches!$I:$I,"Final",Matches!$A:$A,"&lt;&gt;Friendly")+SUMIFS(Matches!$E:$E,Matches!$H:$H,$A6,Matches!$I:$I,"Final",Matches!$A:$A,"&lt;&gt;Friendly"))</f>
        <v/>
      </c>
      <c r="J6" s="4">
        <f>H6-I6</f>
        <v/>
      </c>
      <c r="K6" s="4">
        <f>3*E6+F6</f>
        <v/>
      </c>
      <c r="L6" s="4">
        <f>IF(AND($A6&lt;&gt;"",OR($C6="Yes",D6&gt;0)),K6*1000000+(MAX(-499,MIN(499,J6))+500)*1000+MIN(H6,99)*10+(50-ROW())/10,-1)</f>
        <v/>
      </c>
      <c r="M6" s="4">
        <f>IF($B6="",0,COUNTIFS(Matches!$C:$C,$A6,Matches!$I:$I,"Final",Matches!$A:$A,"Group",Matches!$L:$L,$B6)+COUNTIFS(Matches!$H:$H,$A6,Matches!$I:$I,"Final",Matches!$A:$A,"Group",Matches!$L:$L,$B6))</f>
        <v/>
      </c>
      <c r="N6" s="4">
        <f>IF($B6="",0,COUNTIFS(Matches!$K:$K,$A6,Matches!$A:$A,"Group",Matches!$L:$L,$B6))</f>
        <v/>
      </c>
      <c r="O6" s="4">
        <f>IF($B6="",0,COUNTIFS(Matches!$C:$C,$A6,Matches!$K:$K,"Draw",Matches!$A:$A,"Group",Matches!$L:$L,$B6)+COUNTIFS(Matches!$H:$H,$A6,Matches!$K:$K,"Draw",Matches!$A:$A,"Group",Matches!$L:$L,$B6))</f>
        <v/>
      </c>
      <c r="P6" s="4">
        <f>M6-N6-O6</f>
        <v/>
      </c>
      <c r="Q6" s="4">
        <f>IF($B6="",0,SUMIFS(Matches!$E:$E,Matches!$C:$C,$A6,Matches!$I:$I,"Final",Matches!$A:$A,"Group",Matches!$L:$L,$B6)+SUMIFS(Matches!$F:$F,Matches!$H:$H,$A6,Matches!$I:$I,"Final",Matches!$A:$A,"Group",Matches!$L:$L,$B6))</f>
        <v/>
      </c>
      <c r="R6" s="4">
        <f>IF($B6="",0,SUMIFS(Matches!$F:$F,Matches!$C:$C,$A6,Matches!$I:$I,"Final",Matches!$A:$A,"Group",Matches!$L:$L,$B6)+SUMIFS(Matches!$E:$E,Matches!$H:$H,$A6,Matches!$I:$I,"Final",Matches!$A:$A,"Group",Matches!$L:$L,$B6))</f>
        <v/>
      </c>
      <c r="S6" s="4">
        <f>Q6-R6</f>
        <v/>
      </c>
      <c r="T6" s="4">
        <f>3*N6+O6</f>
        <v/>
      </c>
      <c r="U6" s="4">
        <f>IF($B6="",0,IFERROR(MATCH($B6,Settings!$A$15:$A$22,0),0))</f>
        <v/>
      </c>
      <c r="V6" s="4">
        <f>IF(OR($A6="",U6=0),-1,U6*1000000000+T6*1000000+(MAX(-499,MIN(499,S6))+500)*1000+MIN(Q6,99)*10+(50-ROW())/10)</f>
        <v/>
      </c>
      <c r="W6" s="4">
        <f>IF($A6="",0,COUNTIF('Buy-ins'!$B:$B,$A6))</f>
        <v/>
      </c>
      <c r="X6" s="15">
        <f>IF($A6="",0,SUMIF('Buy-ins'!$B:$B,$A6,'Buy-ins'!$C:$C)+Settings!$B$3*COUNTIFS('Buy-ins'!$B:$B,$A6,'Buy-ins'!$C:$C,""))</f>
        <v/>
      </c>
      <c r="Y6" s="15">
        <f>IF($A6="","",'Cash-out'!G6)</f>
        <v/>
      </c>
      <c r="Z6" s="15">
        <f>IF(OR($A6="",Y6=""),"",Y6-X6)</f>
        <v/>
      </c>
      <c r="AA6" s="4">
        <f>IF(X6=0,-1,(IF(Z6="",0,Z6)+100000)*1000000+ROUND(X6*10,0)*10+(50-ROW())/10)</f>
        <v/>
      </c>
      <c r="AB6" s="4" t="n"/>
      <c r="AC6" s="4" t="n"/>
    </row>
    <row r="7">
      <c r="A7" s="4">
        <f>IF(TRIM(Players!A7)="","",TRIM(Players!A7))</f>
        <v/>
      </c>
      <c r="B7" s="4">
        <f>IF($A7="","",Players!B7&amp;"")</f>
        <v/>
      </c>
      <c r="C7" s="4">
        <f>Players!E7&amp;""</f>
        <v/>
      </c>
      <c r="D7" s="4">
        <f>IF($A7="",0,COUNTIFS(Matches!$C:$C,$A7,Matches!$I:$I,"Final",Matches!$A:$A,"&lt;&gt;Friendly")+COUNTIFS(Matches!$H:$H,$A7,Matches!$I:$I,"Final",Matches!$A:$A,"&lt;&gt;Friendly"))</f>
        <v/>
      </c>
      <c r="E7" s="4">
        <f>IF($A7="",0,COUNTIFS(Matches!$K:$K,$A7,Matches!$A:$A,"&lt;&gt;Friendly"))</f>
        <v/>
      </c>
      <c r="F7" s="4">
        <f>IF($A7="",0,COUNTIFS(Matches!$C:$C,$A7,Matches!$K:$K,"Draw",Matches!$A:$A,"&lt;&gt;Friendly")+COUNTIFS(Matches!$H:$H,$A7,Matches!$K:$K,"Draw",Matches!$A:$A,"&lt;&gt;Friendly"))</f>
        <v/>
      </c>
      <c r="G7" s="4">
        <f>D7-E7-F7</f>
        <v/>
      </c>
      <c r="H7" s="4">
        <f>IF($A7="",0,SUMIFS(Matches!$E:$E,Matches!$C:$C,$A7,Matches!$I:$I,"Final",Matches!$A:$A,"&lt;&gt;Friendly")+SUMIFS(Matches!$F:$F,Matches!$H:$H,$A7,Matches!$I:$I,"Final",Matches!$A:$A,"&lt;&gt;Friendly"))</f>
        <v/>
      </c>
      <c r="I7" s="4">
        <f>IF($A7="",0,SUMIFS(Matches!$F:$F,Matches!$C:$C,$A7,Matches!$I:$I,"Final",Matches!$A:$A,"&lt;&gt;Friendly")+SUMIFS(Matches!$E:$E,Matches!$H:$H,$A7,Matches!$I:$I,"Final",Matches!$A:$A,"&lt;&gt;Friendly"))</f>
        <v/>
      </c>
      <c r="J7" s="4">
        <f>H7-I7</f>
        <v/>
      </c>
      <c r="K7" s="4">
        <f>3*E7+F7</f>
        <v/>
      </c>
      <c r="L7" s="4">
        <f>IF(AND($A7&lt;&gt;"",OR($C7="Yes",D7&gt;0)),K7*1000000+(MAX(-499,MIN(499,J7))+500)*1000+MIN(H7,99)*10+(50-ROW())/10,-1)</f>
        <v/>
      </c>
      <c r="M7" s="4">
        <f>IF($B7="",0,COUNTIFS(Matches!$C:$C,$A7,Matches!$I:$I,"Final",Matches!$A:$A,"Group",Matches!$L:$L,$B7)+COUNTIFS(Matches!$H:$H,$A7,Matches!$I:$I,"Final",Matches!$A:$A,"Group",Matches!$L:$L,$B7))</f>
        <v/>
      </c>
      <c r="N7" s="4">
        <f>IF($B7="",0,COUNTIFS(Matches!$K:$K,$A7,Matches!$A:$A,"Group",Matches!$L:$L,$B7))</f>
        <v/>
      </c>
      <c r="O7" s="4">
        <f>IF($B7="",0,COUNTIFS(Matches!$C:$C,$A7,Matches!$K:$K,"Draw",Matches!$A:$A,"Group",Matches!$L:$L,$B7)+COUNTIFS(Matches!$H:$H,$A7,Matches!$K:$K,"Draw",Matches!$A:$A,"Group",Matches!$L:$L,$B7))</f>
        <v/>
      </c>
      <c r="P7" s="4">
        <f>M7-N7-O7</f>
        <v/>
      </c>
      <c r="Q7" s="4">
        <f>IF($B7="",0,SUMIFS(Matches!$E:$E,Matches!$C:$C,$A7,Matches!$I:$I,"Final",Matches!$A:$A,"Group",Matches!$L:$L,$B7)+SUMIFS(Matches!$F:$F,Matches!$H:$H,$A7,Matches!$I:$I,"Final",Matches!$A:$A,"Group",Matches!$L:$L,$B7))</f>
        <v/>
      </c>
      <c r="R7" s="4">
        <f>IF($B7="",0,SUMIFS(Matches!$F:$F,Matches!$C:$C,$A7,Matches!$I:$I,"Final",Matches!$A:$A,"Group",Matches!$L:$L,$B7)+SUMIFS(Matches!$E:$E,Matches!$H:$H,$A7,Matches!$I:$I,"Final",Matches!$A:$A,"Group",Matches!$L:$L,$B7))</f>
        <v/>
      </c>
      <c r="S7" s="4">
        <f>Q7-R7</f>
        <v/>
      </c>
      <c r="T7" s="4">
        <f>3*N7+O7</f>
        <v/>
      </c>
      <c r="U7" s="4">
        <f>IF($B7="",0,IFERROR(MATCH($B7,Settings!$A$15:$A$22,0),0))</f>
        <v/>
      </c>
      <c r="V7" s="4">
        <f>IF(OR($A7="",U7=0),-1,U7*1000000000+T7*1000000+(MAX(-499,MIN(499,S7))+500)*1000+MIN(Q7,99)*10+(50-ROW())/10)</f>
        <v/>
      </c>
      <c r="W7" s="4">
        <f>IF($A7="",0,COUNTIF('Buy-ins'!$B:$B,$A7))</f>
        <v/>
      </c>
      <c r="X7" s="15">
        <f>IF($A7="",0,SUMIF('Buy-ins'!$B:$B,$A7,'Buy-ins'!$C:$C)+Settings!$B$3*COUNTIFS('Buy-ins'!$B:$B,$A7,'Buy-ins'!$C:$C,""))</f>
        <v/>
      </c>
      <c r="Y7" s="15">
        <f>IF($A7="","",'Cash-out'!G7)</f>
        <v/>
      </c>
      <c r="Z7" s="15">
        <f>IF(OR($A7="",Y7=""),"",Y7-X7)</f>
        <v/>
      </c>
      <c r="AA7" s="4">
        <f>IF(X7=0,-1,(IF(Z7="",0,Z7)+100000)*1000000+ROUND(X7*10,0)*10+(50-ROW())/10)</f>
        <v/>
      </c>
      <c r="AB7" s="4" t="n"/>
      <c r="AC7" s="4" t="n"/>
    </row>
    <row r="8">
      <c r="A8" s="4">
        <f>IF(TRIM(Players!A8)="","",TRIM(Players!A8))</f>
        <v/>
      </c>
      <c r="B8" s="4">
        <f>IF($A8="","",Players!B8&amp;"")</f>
        <v/>
      </c>
      <c r="C8" s="4">
        <f>Players!E8&amp;""</f>
        <v/>
      </c>
      <c r="D8" s="4">
        <f>IF($A8="",0,COUNTIFS(Matches!$C:$C,$A8,Matches!$I:$I,"Final",Matches!$A:$A,"&lt;&gt;Friendly")+COUNTIFS(Matches!$H:$H,$A8,Matches!$I:$I,"Final",Matches!$A:$A,"&lt;&gt;Friendly"))</f>
        <v/>
      </c>
      <c r="E8" s="4">
        <f>IF($A8="",0,COUNTIFS(Matches!$K:$K,$A8,Matches!$A:$A,"&lt;&gt;Friendly"))</f>
        <v/>
      </c>
      <c r="F8" s="4">
        <f>IF($A8="",0,COUNTIFS(Matches!$C:$C,$A8,Matches!$K:$K,"Draw",Matches!$A:$A,"&lt;&gt;Friendly")+COUNTIFS(Matches!$H:$H,$A8,Matches!$K:$K,"Draw",Matches!$A:$A,"&lt;&gt;Friendly"))</f>
        <v/>
      </c>
      <c r="G8" s="4">
        <f>D8-E8-F8</f>
        <v/>
      </c>
      <c r="H8" s="4">
        <f>IF($A8="",0,SUMIFS(Matches!$E:$E,Matches!$C:$C,$A8,Matches!$I:$I,"Final",Matches!$A:$A,"&lt;&gt;Friendly")+SUMIFS(Matches!$F:$F,Matches!$H:$H,$A8,Matches!$I:$I,"Final",Matches!$A:$A,"&lt;&gt;Friendly"))</f>
        <v/>
      </c>
      <c r="I8" s="4">
        <f>IF($A8="",0,SUMIFS(Matches!$F:$F,Matches!$C:$C,$A8,Matches!$I:$I,"Final",Matches!$A:$A,"&lt;&gt;Friendly")+SUMIFS(Matches!$E:$E,Matches!$H:$H,$A8,Matches!$I:$I,"Final",Matches!$A:$A,"&lt;&gt;Friendly"))</f>
        <v/>
      </c>
      <c r="J8" s="4">
        <f>H8-I8</f>
        <v/>
      </c>
      <c r="K8" s="4">
        <f>3*E8+F8</f>
        <v/>
      </c>
      <c r="L8" s="4">
        <f>IF(AND($A8&lt;&gt;"",OR($C8="Yes",D8&gt;0)),K8*1000000+(MAX(-499,MIN(499,J8))+500)*1000+MIN(H8,99)*10+(50-ROW())/10,-1)</f>
        <v/>
      </c>
      <c r="M8" s="4">
        <f>IF($B8="",0,COUNTIFS(Matches!$C:$C,$A8,Matches!$I:$I,"Final",Matches!$A:$A,"Group",Matches!$L:$L,$B8)+COUNTIFS(Matches!$H:$H,$A8,Matches!$I:$I,"Final",Matches!$A:$A,"Group",Matches!$L:$L,$B8))</f>
        <v/>
      </c>
      <c r="N8" s="4">
        <f>IF($B8="",0,COUNTIFS(Matches!$K:$K,$A8,Matches!$A:$A,"Group",Matches!$L:$L,$B8))</f>
        <v/>
      </c>
      <c r="O8" s="4">
        <f>IF($B8="",0,COUNTIFS(Matches!$C:$C,$A8,Matches!$K:$K,"Draw",Matches!$A:$A,"Group",Matches!$L:$L,$B8)+COUNTIFS(Matches!$H:$H,$A8,Matches!$K:$K,"Draw",Matches!$A:$A,"Group",Matches!$L:$L,$B8))</f>
        <v/>
      </c>
      <c r="P8" s="4">
        <f>M8-N8-O8</f>
        <v/>
      </c>
      <c r="Q8" s="4">
        <f>IF($B8="",0,SUMIFS(Matches!$E:$E,Matches!$C:$C,$A8,Matches!$I:$I,"Final",Matches!$A:$A,"Group",Matches!$L:$L,$B8)+SUMIFS(Matches!$F:$F,Matches!$H:$H,$A8,Matches!$I:$I,"Final",Matches!$A:$A,"Group",Matches!$L:$L,$B8))</f>
        <v/>
      </c>
      <c r="R8" s="4">
        <f>IF($B8="",0,SUMIFS(Matches!$F:$F,Matches!$C:$C,$A8,Matches!$I:$I,"Final",Matches!$A:$A,"Group",Matches!$L:$L,$B8)+SUMIFS(Matches!$E:$E,Matches!$H:$H,$A8,Matches!$I:$I,"Final",Matches!$A:$A,"Group",Matches!$L:$L,$B8))</f>
        <v/>
      </c>
      <c r="S8" s="4">
        <f>Q8-R8</f>
        <v/>
      </c>
      <c r="T8" s="4">
        <f>3*N8+O8</f>
        <v/>
      </c>
      <c r="U8" s="4">
        <f>IF($B8="",0,IFERROR(MATCH($B8,Settings!$A$15:$A$22,0),0))</f>
        <v/>
      </c>
      <c r="V8" s="4">
        <f>IF(OR($A8="",U8=0),-1,U8*1000000000+T8*1000000+(MAX(-499,MIN(499,S8))+500)*1000+MIN(Q8,99)*10+(50-ROW())/10)</f>
        <v/>
      </c>
      <c r="W8" s="4">
        <f>IF($A8="",0,COUNTIF('Buy-ins'!$B:$B,$A8))</f>
        <v/>
      </c>
      <c r="X8" s="15">
        <f>IF($A8="",0,SUMIF('Buy-ins'!$B:$B,$A8,'Buy-ins'!$C:$C)+Settings!$B$3*COUNTIFS('Buy-ins'!$B:$B,$A8,'Buy-ins'!$C:$C,""))</f>
        <v/>
      </c>
      <c r="Y8" s="15">
        <f>IF($A8="","",'Cash-out'!G8)</f>
        <v/>
      </c>
      <c r="Z8" s="15">
        <f>IF(OR($A8="",Y8=""),"",Y8-X8)</f>
        <v/>
      </c>
      <c r="AA8" s="4">
        <f>IF(X8=0,-1,(IF(Z8="",0,Z8)+100000)*1000000+ROUND(X8*10,0)*10+(50-ROW())/10)</f>
        <v/>
      </c>
      <c r="AB8" s="4" t="n"/>
      <c r="AC8" s="4" t="n"/>
    </row>
    <row r="9">
      <c r="A9" s="4">
        <f>IF(TRIM(Players!A9)="","",TRIM(Players!A9))</f>
        <v/>
      </c>
      <c r="B9" s="4">
        <f>IF($A9="","",Players!B9&amp;"")</f>
        <v/>
      </c>
      <c r="C9" s="4">
        <f>Players!E9&amp;""</f>
        <v/>
      </c>
      <c r="D9" s="4">
        <f>IF($A9="",0,COUNTIFS(Matches!$C:$C,$A9,Matches!$I:$I,"Final",Matches!$A:$A,"&lt;&gt;Friendly")+COUNTIFS(Matches!$H:$H,$A9,Matches!$I:$I,"Final",Matches!$A:$A,"&lt;&gt;Friendly"))</f>
        <v/>
      </c>
      <c r="E9" s="4">
        <f>IF($A9="",0,COUNTIFS(Matches!$K:$K,$A9,Matches!$A:$A,"&lt;&gt;Friendly"))</f>
        <v/>
      </c>
      <c r="F9" s="4">
        <f>IF($A9="",0,COUNTIFS(Matches!$C:$C,$A9,Matches!$K:$K,"Draw",Matches!$A:$A,"&lt;&gt;Friendly")+COUNTIFS(Matches!$H:$H,$A9,Matches!$K:$K,"Draw",Matches!$A:$A,"&lt;&gt;Friendly"))</f>
        <v/>
      </c>
      <c r="G9" s="4">
        <f>D9-E9-F9</f>
        <v/>
      </c>
      <c r="H9" s="4">
        <f>IF($A9="",0,SUMIFS(Matches!$E:$E,Matches!$C:$C,$A9,Matches!$I:$I,"Final",Matches!$A:$A,"&lt;&gt;Friendly")+SUMIFS(Matches!$F:$F,Matches!$H:$H,$A9,Matches!$I:$I,"Final",Matches!$A:$A,"&lt;&gt;Friendly"))</f>
        <v/>
      </c>
      <c r="I9" s="4">
        <f>IF($A9="",0,SUMIFS(Matches!$F:$F,Matches!$C:$C,$A9,Matches!$I:$I,"Final",Matches!$A:$A,"&lt;&gt;Friendly")+SUMIFS(Matches!$E:$E,Matches!$H:$H,$A9,Matches!$I:$I,"Final",Matches!$A:$A,"&lt;&gt;Friendly"))</f>
        <v/>
      </c>
      <c r="J9" s="4">
        <f>H9-I9</f>
        <v/>
      </c>
      <c r="K9" s="4">
        <f>3*E9+F9</f>
        <v/>
      </c>
      <c r="L9" s="4">
        <f>IF(AND($A9&lt;&gt;"",OR($C9="Yes",D9&gt;0)),K9*1000000+(MAX(-499,MIN(499,J9))+500)*1000+MIN(H9,99)*10+(50-ROW())/10,-1)</f>
        <v/>
      </c>
      <c r="M9" s="4">
        <f>IF($B9="",0,COUNTIFS(Matches!$C:$C,$A9,Matches!$I:$I,"Final",Matches!$A:$A,"Group",Matches!$L:$L,$B9)+COUNTIFS(Matches!$H:$H,$A9,Matches!$I:$I,"Final",Matches!$A:$A,"Group",Matches!$L:$L,$B9))</f>
        <v/>
      </c>
      <c r="N9" s="4">
        <f>IF($B9="",0,COUNTIFS(Matches!$K:$K,$A9,Matches!$A:$A,"Group",Matches!$L:$L,$B9))</f>
        <v/>
      </c>
      <c r="O9" s="4">
        <f>IF($B9="",0,COUNTIFS(Matches!$C:$C,$A9,Matches!$K:$K,"Draw",Matches!$A:$A,"Group",Matches!$L:$L,$B9)+COUNTIFS(Matches!$H:$H,$A9,Matches!$K:$K,"Draw",Matches!$A:$A,"Group",Matches!$L:$L,$B9))</f>
        <v/>
      </c>
      <c r="P9" s="4">
        <f>M9-N9-O9</f>
        <v/>
      </c>
      <c r="Q9" s="4">
        <f>IF($B9="",0,SUMIFS(Matches!$E:$E,Matches!$C:$C,$A9,Matches!$I:$I,"Final",Matches!$A:$A,"Group",Matches!$L:$L,$B9)+SUMIFS(Matches!$F:$F,Matches!$H:$H,$A9,Matches!$I:$I,"Final",Matches!$A:$A,"Group",Matches!$L:$L,$B9))</f>
        <v/>
      </c>
      <c r="R9" s="4">
        <f>IF($B9="",0,SUMIFS(Matches!$F:$F,Matches!$C:$C,$A9,Matches!$I:$I,"Final",Matches!$A:$A,"Group",Matches!$L:$L,$B9)+SUMIFS(Matches!$E:$E,Matches!$H:$H,$A9,Matches!$I:$I,"Final",Matches!$A:$A,"Group",Matches!$L:$L,$B9))</f>
        <v/>
      </c>
      <c r="S9" s="4">
        <f>Q9-R9</f>
        <v/>
      </c>
      <c r="T9" s="4">
        <f>3*N9+O9</f>
        <v/>
      </c>
      <c r="U9" s="4">
        <f>IF($B9="",0,IFERROR(MATCH($B9,Settings!$A$15:$A$22,0),0))</f>
        <v/>
      </c>
      <c r="V9" s="4">
        <f>IF(OR($A9="",U9=0),-1,U9*1000000000+T9*1000000+(MAX(-499,MIN(499,S9))+500)*1000+MIN(Q9,99)*10+(50-ROW())/10)</f>
        <v/>
      </c>
      <c r="W9" s="4">
        <f>IF($A9="",0,COUNTIF('Buy-ins'!$B:$B,$A9))</f>
        <v/>
      </c>
      <c r="X9" s="15">
        <f>IF($A9="",0,SUMIF('Buy-ins'!$B:$B,$A9,'Buy-ins'!$C:$C)+Settings!$B$3*COUNTIFS('Buy-ins'!$B:$B,$A9,'Buy-ins'!$C:$C,""))</f>
        <v/>
      </c>
      <c r="Y9" s="15">
        <f>IF($A9="","",'Cash-out'!G9)</f>
        <v/>
      </c>
      <c r="Z9" s="15">
        <f>IF(OR($A9="",Y9=""),"",Y9-X9)</f>
        <v/>
      </c>
      <c r="AA9" s="4">
        <f>IF(X9=0,-1,(IF(Z9="",0,Z9)+100000)*1000000+ROUND(X9*10,0)*10+(50-ROW())/10)</f>
        <v/>
      </c>
      <c r="AB9" s="4" t="n"/>
      <c r="AC9" s="4" t="n"/>
    </row>
    <row r="10">
      <c r="A10" s="4">
        <f>IF(TRIM(Players!A10)="","",TRIM(Players!A10))</f>
        <v/>
      </c>
      <c r="B10" s="4">
        <f>IF($A10="","",Players!B10&amp;"")</f>
        <v/>
      </c>
      <c r="C10" s="4">
        <f>Players!E10&amp;""</f>
        <v/>
      </c>
      <c r="D10" s="4">
        <f>IF($A10="",0,COUNTIFS(Matches!$C:$C,$A10,Matches!$I:$I,"Final",Matches!$A:$A,"&lt;&gt;Friendly")+COUNTIFS(Matches!$H:$H,$A10,Matches!$I:$I,"Final",Matches!$A:$A,"&lt;&gt;Friendly"))</f>
        <v/>
      </c>
      <c r="E10" s="4">
        <f>IF($A10="",0,COUNTIFS(Matches!$K:$K,$A10,Matches!$A:$A,"&lt;&gt;Friendly"))</f>
        <v/>
      </c>
      <c r="F10" s="4">
        <f>IF($A10="",0,COUNTIFS(Matches!$C:$C,$A10,Matches!$K:$K,"Draw",Matches!$A:$A,"&lt;&gt;Friendly")+COUNTIFS(Matches!$H:$H,$A10,Matches!$K:$K,"Draw",Matches!$A:$A,"&lt;&gt;Friendly"))</f>
        <v/>
      </c>
      <c r="G10" s="4">
        <f>D10-E10-F10</f>
        <v/>
      </c>
      <c r="H10" s="4">
        <f>IF($A10="",0,SUMIFS(Matches!$E:$E,Matches!$C:$C,$A10,Matches!$I:$I,"Final",Matches!$A:$A,"&lt;&gt;Friendly")+SUMIFS(Matches!$F:$F,Matches!$H:$H,$A10,Matches!$I:$I,"Final",Matches!$A:$A,"&lt;&gt;Friendly"))</f>
        <v/>
      </c>
      <c r="I10" s="4">
        <f>IF($A10="",0,SUMIFS(Matches!$F:$F,Matches!$C:$C,$A10,Matches!$I:$I,"Final",Matches!$A:$A,"&lt;&gt;Friendly")+SUMIFS(Matches!$E:$E,Matches!$H:$H,$A10,Matches!$I:$I,"Final",Matches!$A:$A,"&lt;&gt;Friendly"))</f>
        <v/>
      </c>
      <c r="J10" s="4">
        <f>H10-I10</f>
        <v/>
      </c>
      <c r="K10" s="4">
        <f>3*E10+F10</f>
        <v/>
      </c>
      <c r="L10" s="4">
        <f>IF(AND($A10&lt;&gt;"",OR($C10="Yes",D10&gt;0)),K10*1000000+(MAX(-499,MIN(499,J10))+500)*1000+MIN(H10,99)*10+(50-ROW())/10,-1)</f>
        <v/>
      </c>
      <c r="M10" s="4">
        <f>IF($B10="",0,COUNTIFS(Matches!$C:$C,$A10,Matches!$I:$I,"Final",Matches!$A:$A,"Group",Matches!$L:$L,$B10)+COUNTIFS(Matches!$H:$H,$A10,Matches!$I:$I,"Final",Matches!$A:$A,"Group",Matches!$L:$L,$B10))</f>
        <v/>
      </c>
      <c r="N10" s="4">
        <f>IF($B10="",0,COUNTIFS(Matches!$K:$K,$A10,Matches!$A:$A,"Group",Matches!$L:$L,$B10))</f>
        <v/>
      </c>
      <c r="O10" s="4">
        <f>IF($B10="",0,COUNTIFS(Matches!$C:$C,$A10,Matches!$K:$K,"Draw",Matches!$A:$A,"Group",Matches!$L:$L,$B10)+COUNTIFS(Matches!$H:$H,$A10,Matches!$K:$K,"Draw",Matches!$A:$A,"Group",Matches!$L:$L,$B10))</f>
        <v/>
      </c>
      <c r="P10" s="4">
        <f>M10-N10-O10</f>
        <v/>
      </c>
      <c r="Q10" s="4">
        <f>IF($B10="",0,SUMIFS(Matches!$E:$E,Matches!$C:$C,$A10,Matches!$I:$I,"Final",Matches!$A:$A,"Group",Matches!$L:$L,$B10)+SUMIFS(Matches!$F:$F,Matches!$H:$H,$A10,Matches!$I:$I,"Final",Matches!$A:$A,"Group",Matches!$L:$L,$B10))</f>
        <v/>
      </c>
      <c r="R10" s="4">
        <f>IF($B10="",0,SUMIFS(Matches!$F:$F,Matches!$C:$C,$A10,Matches!$I:$I,"Final",Matches!$A:$A,"Group",Matches!$L:$L,$B10)+SUMIFS(Matches!$E:$E,Matches!$H:$H,$A10,Matches!$I:$I,"Final",Matches!$A:$A,"Group",Matches!$L:$L,$B10))</f>
        <v/>
      </c>
      <c r="S10" s="4">
        <f>Q10-R10</f>
        <v/>
      </c>
      <c r="T10" s="4">
        <f>3*N10+O10</f>
        <v/>
      </c>
      <c r="U10" s="4">
        <f>IF($B10="",0,IFERROR(MATCH($B10,Settings!$A$15:$A$22,0),0))</f>
        <v/>
      </c>
      <c r="V10" s="4">
        <f>IF(OR($A10="",U10=0),-1,U10*1000000000+T10*1000000+(MAX(-499,MIN(499,S10))+500)*1000+MIN(Q10,99)*10+(50-ROW())/10)</f>
        <v/>
      </c>
      <c r="W10" s="4">
        <f>IF($A10="",0,COUNTIF('Buy-ins'!$B:$B,$A10))</f>
        <v/>
      </c>
      <c r="X10" s="15">
        <f>IF($A10="",0,SUMIF('Buy-ins'!$B:$B,$A10,'Buy-ins'!$C:$C)+Settings!$B$3*COUNTIFS('Buy-ins'!$B:$B,$A10,'Buy-ins'!$C:$C,""))</f>
        <v/>
      </c>
      <c r="Y10" s="15">
        <f>IF($A10="","",'Cash-out'!G10)</f>
        <v/>
      </c>
      <c r="Z10" s="15">
        <f>IF(OR($A10="",Y10=""),"",Y10-X10)</f>
        <v/>
      </c>
      <c r="AA10" s="4">
        <f>IF(X10=0,-1,(IF(Z10="",0,Z10)+100000)*1000000+ROUND(X10*10,0)*10+(50-ROW())/10)</f>
        <v/>
      </c>
      <c r="AB10" s="4" t="n"/>
      <c r="AC10" s="4" t="n"/>
    </row>
    <row r="11">
      <c r="A11" s="4">
        <f>IF(TRIM(Players!A11)="","",TRIM(Players!A11))</f>
        <v/>
      </c>
      <c r="B11" s="4">
        <f>IF($A11="","",Players!B11&amp;"")</f>
        <v/>
      </c>
      <c r="C11" s="4">
        <f>Players!E11&amp;""</f>
        <v/>
      </c>
      <c r="D11" s="4">
        <f>IF($A11="",0,COUNTIFS(Matches!$C:$C,$A11,Matches!$I:$I,"Final",Matches!$A:$A,"&lt;&gt;Friendly")+COUNTIFS(Matches!$H:$H,$A11,Matches!$I:$I,"Final",Matches!$A:$A,"&lt;&gt;Friendly"))</f>
        <v/>
      </c>
      <c r="E11" s="4">
        <f>IF($A11="",0,COUNTIFS(Matches!$K:$K,$A11,Matches!$A:$A,"&lt;&gt;Friendly"))</f>
        <v/>
      </c>
      <c r="F11" s="4">
        <f>IF($A11="",0,COUNTIFS(Matches!$C:$C,$A11,Matches!$K:$K,"Draw",Matches!$A:$A,"&lt;&gt;Friendly")+COUNTIFS(Matches!$H:$H,$A11,Matches!$K:$K,"Draw",Matches!$A:$A,"&lt;&gt;Friendly"))</f>
        <v/>
      </c>
      <c r="G11" s="4">
        <f>D11-E11-F11</f>
        <v/>
      </c>
      <c r="H11" s="4">
        <f>IF($A11="",0,SUMIFS(Matches!$E:$E,Matches!$C:$C,$A11,Matches!$I:$I,"Final",Matches!$A:$A,"&lt;&gt;Friendly")+SUMIFS(Matches!$F:$F,Matches!$H:$H,$A11,Matches!$I:$I,"Final",Matches!$A:$A,"&lt;&gt;Friendly"))</f>
        <v/>
      </c>
      <c r="I11" s="4">
        <f>IF($A11="",0,SUMIFS(Matches!$F:$F,Matches!$C:$C,$A11,Matches!$I:$I,"Final",Matches!$A:$A,"&lt;&gt;Friendly")+SUMIFS(Matches!$E:$E,Matches!$H:$H,$A11,Matches!$I:$I,"Final",Matches!$A:$A,"&lt;&gt;Friendly"))</f>
        <v/>
      </c>
      <c r="J11" s="4">
        <f>H11-I11</f>
        <v/>
      </c>
      <c r="K11" s="4">
        <f>3*E11+F11</f>
        <v/>
      </c>
      <c r="L11" s="4">
        <f>IF(AND($A11&lt;&gt;"",OR($C11="Yes",D11&gt;0)),K11*1000000+(MAX(-499,MIN(499,J11))+500)*1000+MIN(H11,99)*10+(50-ROW())/10,-1)</f>
        <v/>
      </c>
      <c r="M11" s="4">
        <f>IF($B11="",0,COUNTIFS(Matches!$C:$C,$A11,Matches!$I:$I,"Final",Matches!$A:$A,"Group",Matches!$L:$L,$B11)+COUNTIFS(Matches!$H:$H,$A11,Matches!$I:$I,"Final",Matches!$A:$A,"Group",Matches!$L:$L,$B11))</f>
        <v/>
      </c>
      <c r="N11" s="4">
        <f>IF($B11="",0,COUNTIFS(Matches!$K:$K,$A11,Matches!$A:$A,"Group",Matches!$L:$L,$B11))</f>
        <v/>
      </c>
      <c r="O11" s="4">
        <f>IF($B11="",0,COUNTIFS(Matches!$C:$C,$A11,Matches!$K:$K,"Draw",Matches!$A:$A,"Group",Matches!$L:$L,$B11)+COUNTIFS(Matches!$H:$H,$A11,Matches!$K:$K,"Draw",Matches!$A:$A,"Group",Matches!$L:$L,$B11))</f>
        <v/>
      </c>
      <c r="P11" s="4">
        <f>M11-N11-O11</f>
        <v/>
      </c>
      <c r="Q11" s="4">
        <f>IF($B11="",0,SUMIFS(Matches!$E:$E,Matches!$C:$C,$A11,Matches!$I:$I,"Final",Matches!$A:$A,"Group",Matches!$L:$L,$B11)+SUMIFS(Matches!$F:$F,Matches!$H:$H,$A11,Matches!$I:$I,"Final",Matches!$A:$A,"Group",Matches!$L:$L,$B11))</f>
        <v/>
      </c>
      <c r="R11" s="4">
        <f>IF($B11="",0,SUMIFS(Matches!$F:$F,Matches!$C:$C,$A11,Matches!$I:$I,"Final",Matches!$A:$A,"Group",Matches!$L:$L,$B11)+SUMIFS(Matches!$E:$E,Matches!$H:$H,$A11,Matches!$I:$I,"Final",Matches!$A:$A,"Group",Matches!$L:$L,$B11))</f>
        <v/>
      </c>
      <c r="S11" s="4">
        <f>Q11-R11</f>
        <v/>
      </c>
      <c r="T11" s="4">
        <f>3*N11+O11</f>
        <v/>
      </c>
      <c r="U11" s="4">
        <f>IF($B11="",0,IFERROR(MATCH($B11,Settings!$A$15:$A$22,0),0))</f>
        <v/>
      </c>
      <c r="V11" s="4">
        <f>IF(OR($A11="",U11=0),-1,U11*1000000000+T11*1000000+(MAX(-499,MIN(499,S11))+500)*1000+MIN(Q11,99)*10+(50-ROW())/10)</f>
        <v/>
      </c>
      <c r="W11" s="4">
        <f>IF($A11="",0,COUNTIF('Buy-ins'!$B:$B,$A11))</f>
        <v/>
      </c>
      <c r="X11" s="15">
        <f>IF($A11="",0,SUMIF('Buy-ins'!$B:$B,$A11,'Buy-ins'!$C:$C)+Settings!$B$3*COUNTIFS('Buy-ins'!$B:$B,$A11,'Buy-ins'!$C:$C,""))</f>
        <v/>
      </c>
      <c r="Y11" s="15">
        <f>IF($A11="","",'Cash-out'!G11)</f>
        <v/>
      </c>
      <c r="Z11" s="15">
        <f>IF(OR($A11="",Y11=""),"",Y11-X11)</f>
        <v/>
      </c>
      <c r="AA11" s="4">
        <f>IF(X11=0,-1,(IF(Z11="",0,Z11)+100000)*1000000+ROUND(X11*10,0)*10+(50-ROW())/10)</f>
        <v/>
      </c>
      <c r="AB11" s="4" t="n"/>
      <c r="AC11" s="4" t="n"/>
    </row>
    <row r="12">
      <c r="A12" s="4">
        <f>IF(TRIM(Players!A12)="","",TRIM(Players!A12))</f>
        <v/>
      </c>
      <c r="B12" s="4">
        <f>IF($A12="","",Players!B12&amp;"")</f>
        <v/>
      </c>
      <c r="C12" s="4">
        <f>Players!E12&amp;""</f>
        <v/>
      </c>
      <c r="D12" s="4">
        <f>IF($A12="",0,COUNTIFS(Matches!$C:$C,$A12,Matches!$I:$I,"Final",Matches!$A:$A,"&lt;&gt;Friendly")+COUNTIFS(Matches!$H:$H,$A12,Matches!$I:$I,"Final",Matches!$A:$A,"&lt;&gt;Friendly"))</f>
        <v/>
      </c>
      <c r="E12" s="4">
        <f>IF($A12="",0,COUNTIFS(Matches!$K:$K,$A12,Matches!$A:$A,"&lt;&gt;Friendly"))</f>
        <v/>
      </c>
      <c r="F12" s="4">
        <f>IF($A12="",0,COUNTIFS(Matches!$C:$C,$A12,Matches!$K:$K,"Draw",Matches!$A:$A,"&lt;&gt;Friendly")+COUNTIFS(Matches!$H:$H,$A12,Matches!$K:$K,"Draw",Matches!$A:$A,"&lt;&gt;Friendly"))</f>
        <v/>
      </c>
      <c r="G12" s="4">
        <f>D12-E12-F12</f>
        <v/>
      </c>
      <c r="H12" s="4">
        <f>IF($A12="",0,SUMIFS(Matches!$E:$E,Matches!$C:$C,$A12,Matches!$I:$I,"Final",Matches!$A:$A,"&lt;&gt;Friendly")+SUMIFS(Matches!$F:$F,Matches!$H:$H,$A12,Matches!$I:$I,"Final",Matches!$A:$A,"&lt;&gt;Friendly"))</f>
        <v/>
      </c>
      <c r="I12" s="4">
        <f>IF($A12="",0,SUMIFS(Matches!$F:$F,Matches!$C:$C,$A12,Matches!$I:$I,"Final",Matches!$A:$A,"&lt;&gt;Friendly")+SUMIFS(Matches!$E:$E,Matches!$H:$H,$A12,Matches!$I:$I,"Final",Matches!$A:$A,"&lt;&gt;Friendly"))</f>
        <v/>
      </c>
      <c r="J12" s="4">
        <f>H12-I12</f>
        <v/>
      </c>
      <c r="K12" s="4">
        <f>3*E12+F12</f>
        <v/>
      </c>
      <c r="L12" s="4">
        <f>IF(AND($A12&lt;&gt;"",OR($C12="Yes",D12&gt;0)),K12*1000000+(MAX(-499,MIN(499,J12))+500)*1000+MIN(H12,99)*10+(50-ROW())/10,-1)</f>
        <v/>
      </c>
      <c r="M12" s="4">
        <f>IF($B12="",0,COUNTIFS(Matches!$C:$C,$A12,Matches!$I:$I,"Final",Matches!$A:$A,"Group",Matches!$L:$L,$B12)+COUNTIFS(Matches!$H:$H,$A12,Matches!$I:$I,"Final",Matches!$A:$A,"Group",Matches!$L:$L,$B12))</f>
        <v/>
      </c>
      <c r="N12" s="4">
        <f>IF($B12="",0,COUNTIFS(Matches!$K:$K,$A12,Matches!$A:$A,"Group",Matches!$L:$L,$B12))</f>
        <v/>
      </c>
      <c r="O12" s="4">
        <f>IF($B12="",0,COUNTIFS(Matches!$C:$C,$A12,Matches!$K:$K,"Draw",Matches!$A:$A,"Group",Matches!$L:$L,$B12)+COUNTIFS(Matches!$H:$H,$A12,Matches!$K:$K,"Draw",Matches!$A:$A,"Group",Matches!$L:$L,$B12))</f>
        <v/>
      </c>
      <c r="P12" s="4">
        <f>M12-N12-O12</f>
        <v/>
      </c>
      <c r="Q12" s="4">
        <f>IF($B12="",0,SUMIFS(Matches!$E:$E,Matches!$C:$C,$A12,Matches!$I:$I,"Final",Matches!$A:$A,"Group",Matches!$L:$L,$B12)+SUMIFS(Matches!$F:$F,Matches!$H:$H,$A12,Matches!$I:$I,"Final",Matches!$A:$A,"Group",Matches!$L:$L,$B12))</f>
        <v/>
      </c>
      <c r="R12" s="4">
        <f>IF($B12="",0,SUMIFS(Matches!$F:$F,Matches!$C:$C,$A12,Matches!$I:$I,"Final",Matches!$A:$A,"Group",Matches!$L:$L,$B12)+SUMIFS(Matches!$E:$E,Matches!$H:$H,$A12,Matches!$I:$I,"Final",Matches!$A:$A,"Group",Matches!$L:$L,$B12))</f>
        <v/>
      </c>
      <c r="S12" s="4">
        <f>Q12-R12</f>
        <v/>
      </c>
      <c r="T12" s="4">
        <f>3*N12+O12</f>
        <v/>
      </c>
      <c r="U12" s="4">
        <f>IF($B12="",0,IFERROR(MATCH($B12,Settings!$A$15:$A$22,0),0))</f>
        <v/>
      </c>
      <c r="V12" s="4">
        <f>IF(OR($A12="",U12=0),-1,U12*1000000000+T12*1000000+(MAX(-499,MIN(499,S12))+500)*1000+MIN(Q12,99)*10+(50-ROW())/10)</f>
        <v/>
      </c>
      <c r="W12" s="4">
        <f>IF($A12="",0,COUNTIF('Buy-ins'!$B:$B,$A12))</f>
        <v/>
      </c>
      <c r="X12" s="15">
        <f>IF($A12="",0,SUMIF('Buy-ins'!$B:$B,$A12,'Buy-ins'!$C:$C)+Settings!$B$3*COUNTIFS('Buy-ins'!$B:$B,$A12,'Buy-ins'!$C:$C,""))</f>
        <v/>
      </c>
      <c r="Y12" s="15">
        <f>IF($A12="","",'Cash-out'!G12)</f>
        <v/>
      </c>
      <c r="Z12" s="15">
        <f>IF(OR($A12="",Y12=""),"",Y12-X12)</f>
        <v/>
      </c>
      <c r="AA12" s="4">
        <f>IF(X12=0,-1,(IF(Z12="",0,Z12)+100000)*1000000+ROUND(X12*10,0)*10+(50-ROW())/10)</f>
        <v/>
      </c>
      <c r="AB12" s="4" t="n"/>
      <c r="AC12" s="4" t="n"/>
    </row>
    <row r="13">
      <c r="A13" s="4">
        <f>IF(TRIM(Players!A13)="","",TRIM(Players!A13))</f>
        <v/>
      </c>
      <c r="B13" s="4">
        <f>IF($A13="","",Players!B13&amp;"")</f>
        <v/>
      </c>
      <c r="C13" s="4">
        <f>Players!E13&amp;""</f>
        <v/>
      </c>
      <c r="D13" s="4">
        <f>IF($A13="",0,COUNTIFS(Matches!$C:$C,$A13,Matches!$I:$I,"Final",Matches!$A:$A,"&lt;&gt;Friendly")+COUNTIFS(Matches!$H:$H,$A13,Matches!$I:$I,"Final",Matches!$A:$A,"&lt;&gt;Friendly"))</f>
        <v/>
      </c>
      <c r="E13" s="4">
        <f>IF($A13="",0,COUNTIFS(Matches!$K:$K,$A13,Matches!$A:$A,"&lt;&gt;Friendly"))</f>
        <v/>
      </c>
      <c r="F13" s="4">
        <f>IF($A13="",0,COUNTIFS(Matches!$C:$C,$A13,Matches!$K:$K,"Draw",Matches!$A:$A,"&lt;&gt;Friendly")+COUNTIFS(Matches!$H:$H,$A13,Matches!$K:$K,"Draw",Matches!$A:$A,"&lt;&gt;Friendly"))</f>
        <v/>
      </c>
      <c r="G13" s="4">
        <f>D13-E13-F13</f>
        <v/>
      </c>
      <c r="H13" s="4">
        <f>IF($A13="",0,SUMIFS(Matches!$E:$E,Matches!$C:$C,$A13,Matches!$I:$I,"Final",Matches!$A:$A,"&lt;&gt;Friendly")+SUMIFS(Matches!$F:$F,Matches!$H:$H,$A13,Matches!$I:$I,"Final",Matches!$A:$A,"&lt;&gt;Friendly"))</f>
        <v/>
      </c>
      <c r="I13" s="4">
        <f>IF($A13="",0,SUMIFS(Matches!$F:$F,Matches!$C:$C,$A13,Matches!$I:$I,"Final",Matches!$A:$A,"&lt;&gt;Friendly")+SUMIFS(Matches!$E:$E,Matches!$H:$H,$A13,Matches!$I:$I,"Final",Matches!$A:$A,"&lt;&gt;Friendly"))</f>
        <v/>
      </c>
      <c r="J13" s="4">
        <f>H13-I13</f>
        <v/>
      </c>
      <c r="K13" s="4">
        <f>3*E13+F13</f>
        <v/>
      </c>
      <c r="L13" s="4">
        <f>IF(AND($A13&lt;&gt;"",OR($C13="Yes",D13&gt;0)),K13*1000000+(MAX(-499,MIN(499,J13))+500)*1000+MIN(H13,99)*10+(50-ROW())/10,-1)</f>
        <v/>
      </c>
      <c r="M13" s="4">
        <f>IF($B13="",0,COUNTIFS(Matches!$C:$C,$A13,Matches!$I:$I,"Final",Matches!$A:$A,"Group",Matches!$L:$L,$B13)+COUNTIFS(Matches!$H:$H,$A13,Matches!$I:$I,"Final",Matches!$A:$A,"Group",Matches!$L:$L,$B13))</f>
        <v/>
      </c>
      <c r="N13" s="4">
        <f>IF($B13="",0,COUNTIFS(Matches!$K:$K,$A13,Matches!$A:$A,"Group",Matches!$L:$L,$B13))</f>
        <v/>
      </c>
      <c r="O13" s="4">
        <f>IF($B13="",0,COUNTIFS(Matches!$C:$C,$A13,Matches!$K:$K,"Draw",Matches!$A:$A,"Group",Matches!$L:$L,$B13)+COUNTIFS(Matches!$H:$H,$A13,Matches!$K:$K,"Draw",Matches!$A:$A,"Group",Matches!$L:$L,$B13))</f>
        <v/>
      </c>
      <c r="P13" s="4">
        <f>M13-N13-O13</f>
        <v/>
      </c>
      <c r="Q13" s="4">
        <f>IF($B13="",0,SUMIFS(Matches!$E:$E,Matches!$C:$C,$A13,Matches!$I:$I,"Final",Matches!$A:$A,"Group",Matches!$L:$L,$B13)+SUMIFS(Matches!$F:$F,Matches!$H:$H,$A13,Matches!$I:$I,"Final",Matches!$A:$A,"Group",Matches!$L:$L,$B13))</f>
        <v/>
      </c>
      <c r="R13" s="4">
        <f>IF($B13="",0,SUMIFS(Matches!$F:$F,Matches!$C:$C,$A13,Matches!$I:$I,"Final",Matches!$A:$A,"Group",Matches!$L:$L,$B13)+SUMIFS(Matches!$E:$E,Matches!$H:$H,$A13,Matches!$I:$I,"Final",Matches!$A:$A,"Group",Matches!$L:$L,$B13))</f>
        <v/>
      </c>
      <c r="S13" s="4">
        <f>Q13-R13</f>
        <v/>
      </c>
      <c r="T13" s="4">
        <f>3*N13+O13</f>
        <v/>
      </c>
      <c r="U13" s="4">
        <f>IF($B13="",0,IFERROR(MATCH($B13,Settings!$A$15:$A$22,0),0))</f>
        <v/>
      </c>
      <c r="V13" s="4">
        <f>IF(OR($A13="",U13=0),-1,U13*1000000000+T13*1000000+(MAX(-499,MIN(499,S13))+500)*1000+MIN(Q13,99)*10+(50-ROW())/10)</f>
        <v/>
      </c>
      <c r="W13" s="4">
        <f>IF($A13="",0,COUNTIF('Buy-ins'!$B:$B,$A13))</f>
        <v/>
      </c>
      <c r="X13" s="15">
        <f>IF($A13="",0,SUMIF('Buy-ins'!$B:$B,$A13,'Buy-ins'!$C:$C)+Settings!$B$3*COUNTIFS('Buy-ins'!$B:$B,$A13,'Buy-ins'!$C:$C,""))</f>
        <v/>
      </c>
      <c r="Y13" s="15">
        <f>IF($A13="","",'Cash-out'!G13)</f>
        <v/>
      </c>
      <c r="Z13" s="15">
        <f>IF(OR($A13="",Y13=""),"",Y13-X13)</f>
        <v/>
      </c>
      <c r="AA13" s="4">
        <f>IF(X13=0,-1,(IF(Z13="",0,Z13)+100000)*1000000+ROUND(X13*10,0)*10+(50-ROW())/10)</f>
        <v/>
      </c>
      <c r="AB13" s="4" t="n"/>
      <c r="AC13" s="4" t="n"/>
    </row>
    <row r="14">
      <c r="A14" s="4">
        <f>IF(TRIM(Players!A14)="","",TRIM(Players!A14))</f>
        <v/>
      </c>
      <c r="B14" s="4">
        <f>IF($A14="","",Players!B14&amp;"")</f>
        <v/>
      </c>
      <c r="C14" s="4">
        <f>Players!E14&amp;""</f>
        <v/>
      </c>
      <c r="D14" s="4">
        <f>IF($A14="",0,COUNTIFS(Matches!$C:$C,$A14,Matches!$I:$I,"Final",Matches!$A:$A,"&lt;&gt;Friendly")+COUNTIFS(Matches!$H:$H,$A14,Matches!$I:$I,"Final",Matches!$A:$A,"&lt;&gt;Friendly"))</f>
        <v/>
      </c>
      <c r="E14" s="4">
        <f>IF($A14="",0,COUNTIFS(Matches!$K:$K,$A14,Matches!$A:$A,"&lt;&gt;Friendly"))</f>
        <v/>
      </c>
      <c r="F14" s="4">
        <f>IF($A14="",0,COUNTIFS(Matches!$C:$C,$A14,Matches!$K:$K,"Draw",Matches!$A:$A,"&lt;&gt;Friendly")+COUNTIFS(Matches!$H:$H,$A14,Matches!$K:$K,"Draw",Matches!$A:$A,"&lt;&gt;Friendly"))</f>
        <v/>
      </c>
      <c r="G14" s="4">
        <f>D14-E14-F14</f>
        <v/>
      </c>
      <c r="H14" s="4">
        <f>IF($A14="",0,SUMIFS(Matches!$E:$E,Matches!$C:$C,$A14,Matches!$I:$I,"Final",Matches!$A:$A,"&lt;&gt;Friendly")+SUMIFS(Matches!$F:$F,Matches!$H:$H,$A14,Matches!$I:$I,"Final",Matches!$A:$A,"&lt;&gt;Friendly"))</f>
        <v/>
      </c>
      <c r="I14" s="4">
        <f>IF($A14="",0,SUMIFS(Matches!$F:$F,Matches!$C:$C,$A14,Matches!$I:$I,"Final",Matches!$A:$A,"&lt;&gt;Friendly")+SUMIFS(Matches!$E:$E,Matches!$H:$H,$A14,Matches!$I:$I,"Final",Matches!$A:$A,"&lt;&gt;Friendly"))</f>
        <v/>
      </c>
      <c r="J14" s="4">
        <f>H14-I14</f>
        <v/>
      </c>
      <c r="K14" s="4">
        <f>3*E14+F14</f>
        <v/>
      </c>
      <c r="L14" s="4">
        <f>IF(AND($A14&lt;&gt;"",OR($C14="Yes",D14&gt;0)),K14*1000000+(MAX(-499,MIN(499,J14))+500)*1000+MIN(H14,99)*10+(50-ROW())/10,-1)</f>
        <v/>
      </c>
      <c r="M14" s="4">
        <f>IF($B14="",0,COUNTIFS(Matches!$C:$C,$A14,Matches!$I:$I,"Final",Matches!$A:$A,"Group",Matches!$L:$L,$B14)+COUNTIFS(Matches!$H:$H,$A14,Matches!$I:$I,"Final",Matches!$A:$A,"Group",Matches!$L:$L,$B14))</f>
        <v/>
      </c>
      <c r="N14" s="4">
        <f>IF($B14="",0,COUNTIFS(Matches!$K:$K,$A14,Matches!$A:$A,"Group",Matches!$L:$L,$B14))</f>
        <v/>
      </c>
      <c r="O14" s="4">
        <f>IF($B14="",0,COUNTIFS(Matches!$C:$C,$A14,Matches!$K:$K,"Draw",Matches!$A:$A,"Group",Matches!$L:$L,$B14)+COUNTIFS(Matches!$H:$H,$A14,Matches!$K:$K,"Draw",Matches!$A:$A,"Group",Matches!$L:$L,$B14))</f>
        <v/>
      </c>
      <c r="P14" s="4">
        <f>M14-N14-O14</f>
        <v/>
      </c>
      <c r="Q14" s="4">
        <f>IF($B14="",0,SUMIFS(Matches!$E:$E,Matches!$C:$C,$A14,Matches!$I:$I,"Final",Matches!$A:$A,"Group",Matches!$L:$L,$B14)+SUMIFS(Matches!$F:$F,Matches!$H:$H,$A14,Matches!$I:$I,"Final",Matches!$A:$A,"Group",Matches!$L:$L,$B14))</f>
        <v/>
      </c>
      <c r="R14" s="4">
        <f>IF($B14="",0,SUMIFS(Matches!$F:$F,Matches!$C:$C,$A14,Matches!$I:$I,"Final",Matches!$A:$A,"Group",Matches!$L:$L,$B14)+SUMIFS(Matches!$E:$E,Matches!$H:$H,$A14,Matches!$I:$I,"Final",Matches!$A:$A,"Group",Matches!$L:$L,$B14))</f>
        <v/>
      </c>
      <c r="S14" s="4">
        <f>Q14-R14</f>
        <v/>
      </c>
      <c r="T14" s="4">
        <f>3*N14+O14</f>
        <v/>
      </c>
      <c r="U14" s="4">
        <f>IF($B14="",0,IFERROR(MATCH($B14,Settings!$A$15:$A$22,0),0))</f>
        <v/>
      </c>
      <c r="V14" s="4">
        <f>IF(OR($A14="",U14=0),-1,U14*1000000000+T14*1000000+(MAX(-499,MIN(499,S14))+500)*1000+MIN(Q14,99)*10+(50-ROW())/10)</f>
        <v/>
      </c>
      <c r="W14" s="4">
        <f>IF($A14="",0,COUNTIF('Buy-ins'!$B:$B,$A14))</f>
        <v/>
      </c>
      <c r="X14" s="15">
        <f>IF($A14="",0,SUMIF('Buy-ins'!$B:$B,$A14,'Buy-ins'!$C:$C)+Settings!$B$3*COUNTIFS('Buy-ins'!$B:$B,$A14,'Buy-ins'!$C:$C,""))</f>
        <v/>
      </c>
      <c r="Y14" s="15">
        <f>IF($A14="","",'Cash-out'!G14)</f>
        <v/>
      </c>
      <c r="Z14" s="15">
        <f>IF(OR($A14="",Y14=""),"",Y14-X14)</f>
        <v/>
      </c>
      <c r="AA14" s="4">
        <f>IF(X14=0,-1,(IF(Z14="",0,Z14)+100000)*1000000+ROUND(X14*10,0)*10+(50-ROW())/10)</f>
        <v/>
      </c>
      <c r="AB14" s="4" t="n"/>
      <c r="AC14" s="4" t="n"/>
    </row>
    <row r="15">
      <c r="A15" s="4">
        <f>IF(TRIM(Players!A15)="","",TRIM(Players!A15))</f>
        <v/>
      </c>
      <c r="B15" s="4">
        <f>IF($A15="","",Players!B15&amp;"")</f>
        <v/>
      </c>
      <c r="C15" s="4">
        <f>Players!E15&amp;""</f>
        <v/>
      </c>
      <c r="D15" s="4">
        <f>IF($A15="",0,COUNTIFS(Matches!$C:$C,$A15,Matches!$I:$I,"Final",Matches!$A:$A,"&lt;&gt;Friendly")+COUNTIFS(Matches!$H:$H,$A15,Matches!$I:$I,"Final",Matches!$A:$A,"&lt;&gt;Friendly"))</f>
        <v/>
      </c>
      <c r="E15" s="4">
        <f>IF($A15="",0,COUNTIFS(Matches!$K:$K,$A15,Matches!$A:$A,"&lt;&gt;Friendly"))</f>
        <v/>
      </c>
      <c r="F15" s="4">
        <f>IF($A15="",0,COUNTIFS(Matches!$C:$C,$A15,Matches!$K:$K,"Draw",Matches!$A:$A,"&lt;&gt;Friendly")+COUNTIFS(Matches!$H:$H,$A15,Matches!$K:$K,"Draw",Matches!$A:$A,"&lt;&gt;Friendly"))</f>
        <v/>
      </c>
      <c r="G15" s="4">
        <f>D15-E15-F15</f>
        <v/>
      </c>
      <c r="H15" s="4">
        <f>IF($A15="",0,SUMIFS(Matches!$E:$E,Matches!$C:$C,$A15,Matches!$I:$I,"Final",Matches!$A:$A,"&lt;&gt;Friendly")+SUMIFS(Matches!$F:$F,Matches!$H:$H,$A15,Matches!$I:$I,"Final",Matches!$A:$A,"&lt;&gt;Friendly"))</f>
        <v/>
      </c>
      <c r="I15" s="4">
        <f>IF($A15="",0,SUMIFS(Matches!$F:$F,Matches!$C:$C,$A15,Matches!$I:$I,"Final",Matches!$A:$A,"&lt;&gt;Friendly")+SUMIFS(Matches!$E:$E,Matches!$H:$H,$A15,Matches!$I:$I,"Final",Matches!$A:$A,"&lt;&gt;Friendly"))</f>
        <v/>
      </c>
      <c r="J15" s="4">
        <f>H15-I15</f>
        <v/>
      </c>
      <c r="K15" s="4">
        <f>3*E15+F15</f>
        <v/>
      </c>
      <c r="L15" s="4">
        <f>IF(AND($A15&lt;&gt;"",OR($C15="Yes",D15&gt;0)),K15*1000000+(MAX(-499,MIN(499,J15))+500)*1000+MIN(H15,99)*10+(50-ROW())/10,-1)</f>
        <v/>
      </c>
      <c r="M15" s="4">
        <f>IF($B15="",0,COUNTIFS(Matches!$C:$C,$A15,Matches!$I:$I,"Final",Matches!$A:$A,"Group",Matches!$L:$L,$B15)+COUNTIFS(Matches!$H:$H,$A15,Matches!$I:$I,"Final",Matches!$A:$A,"Group",Matches!$L:$L,$B15))</f>
        <v/>
      </c>
      <c r="N15" s="4">
        <f>IF($B15="",0,COUNTIFS(Matches!$K:$K,$A15,Matches!$A:$A,"Group",Matches!$L:$L,$B15))</f>
        <v/>
      </c>
      <c r="O15" s="4">
        <f>IF($B15="",0,COUNTIFS(Matches!$C:$C,$A15,Matches!$K:$K,"Draw",Matches!$A:$A,"Group",Matches!$L:$L,$B15)+COUNTIFS(Matches!$H:$H,$A15,Matches!$K:$K,"Draw",Matches!$A:$A,"Group",Matches!$L:$L,$B15))</f>
        <v/>
      </c>
      <c r="P15" s="4">
        <f>M15-N15-O15</f>
        <v/>
      </c>
      <c r="Q15" s="4">
        <f>IF($B15="",0,SUMIFS(Matches!$E:$E,Matches!$C:$C,$A15,Matches!$I:$I,"Final",Matches!$A:$A,"Group",Matches!$L:$L,$B15)+SUMIFS(Matches!$F:$F,Matches!$H:$H,$A15,Matches!$I:$I,"Final",Matches!$A:$A,"Group",Matches!$L:$L,$B15))</f>
        <v/>
      </c>
      <c r="R15" s="4">
        <f>IF($B15="",0,SUMIFS(Matches!$F:$F,Matches!$C:$C,$A15,Matches!$I:$I,"Final",Matches!$A:$A,"Group",Matches!$L:$L,$B15)+SUMIFS(Matches!$E:$E,Matches!$H:$H,$A15,Matches!$I:$I,"Final",Matches!$A:$A,"Group",Matches!$L:$L,$B15))</f>
        <v/>
      </c>
      <c r="S15" s="4">
        <f>Q15-R15</f>
        <v/>
      </c>
      <c r="T15" s="4">
        <f>3*N15+O15</f>
        <v/>
      </c>
      <c r="U15" s="4">
        <f>IF($B15="",0,IFERROR(MATCH($B15,Settings!$A$15:$A$22,0),0))</f>
        <v/>
      </c>
      <c r="V15" s="4">
        <f>IF(OR($A15="",U15=0),-1,U15*1000000000+T15*1000000+(MAX(-499,MIN(499,S15))+500)*1000+MIN(Q15,99)*10+(50-ROW())/10)</f>
        <v/>
      </c>
      <c r="W15" s="4">
        <f>IF($A15="",0,COUNTIF('Buy-ins'!$B:$B,$A15))</f>
        <v/>
      </c>
      <c r="X15" s="15">
        <f>IF($A15="",0,SUMIF('Buy-ins'!$B:$B,$A15,'Buy-ins'!$C:$C)+Settings!$B$3*COUNTIFS('Buy-ins'!$B:$B,$A15,'Buy-ins'!$C:$C,""))</f>
        <v/>
      </c>
      <c r="Y15" s="15">
        <f>IF($A15="","",'Cash-out'!G15)</f>
        <v/>
      </c>
      <c r="Z15" s="15">
        <f>IF(OR($A15="",Y15=""),"",Y15-X15)</f>
        <v/>
      </c>
      <c r="AA15" s="4">
        <f>IF(X15=0,-1,(IF(Z15="",0,Z15)+100000)*1000000+ROUND(X15*10,0)*10+(50-ROW())/10)</f>
        <v/>
      </c>
      <c r="AB15" s="4" t="n"/>
      <c r="AC15" s="4" t="n"/>
    </row>
    <row r="16">
      <c r="A16" s="4">
        <f>IF(TRIM(Players!A16)="","",TRIM(Players!A16))</f>
        <v/>
      </c>
      <c r="B16" s="4">
        <f>IF($A16="","",Players!B16&amp;"")</f>
        <v/>
      </c>
      <c r="C16" s="4">
        <f>Players!E16&amp;""</f>
        <v/>
      </c>
      <c r="D16" s="4">
        <f>IF($A16="",0,COUNTIFS(Matches!$C:$C,$A16,Matches!$I:$I,"Final",Matches!$A:$A,"&lt;&gt;Friendly")+COUNTIFS(Matches!$H:$H,$A16,Matches!$I:$I,"Final",Matches!$A:$A,"&lt;&gt;Friendly"))</f>
        <v/>
      </c>
      <c r="E16" s="4">
        <f>IF($A16="",0,COUNTIFS(Matches!$K:$K,$A16,Matches!$A:$A,"&lt;&gt;Friendly"))</f>
        <v/>
      </c>
      <c r="F16" s="4">
        <f>IF($A16="",0,COUNTIFS(Matches!$C:$C,$A16,Matches!$K:$K,"Draw",Matches!$A:$A,"&lt;&gt;Friendly")+COUNTIFS(Matches!$H:$H,$A16,Matches!$K:$K,"Draw",Matches!$A:$A,"&lt;&gt;Friendly"))</f>
        <v/>
      </c>
      <c r="G16" s="4">
        <f>D16-E16-F16</f>
        <v/>
      </c>
      <c r="H16" s="4">
        <f>IF($A16="",0,SUMIFS(Matches!$E:$E,Matches!$C:$C,$A16,Matches!$I:$I,"Final",Matches!$A:$A,"&lt;&gt;Friendly")+SUMIFS(Matches!$F:$F,Matches!$H:$H,$A16,Matches!$I:$I,"Final",Matches!$A:$A,"&lt;&gt;Friendly"))</f>
        <v/>
      </c>
      <c r="I16" s="4">
        <f>IF($A16="",0,SUMIFS(Matches!$F:$F,Matches!$C:$C,$A16,Matches!$I:$I,"Final",Matches!$A:$A,"&lt;&gt;Friendly")+SUMIFS(Matches!$E:$E,Matches!$H:$H,$A16,Matches!$I:$I,"Final",Matches!$A:$A,"&lt;&gt;Friendly"))</f>
        <v/>
      </c>
      <c r="J16" s="4">
        <f>H16-I16</f>
        <v/>
      </c>
      <c r="K16" s="4">
        <f>3*E16+F16</f>
        <v/>
      </c>
      <c r="L16" s="4">
        <f>IF(AND($A16&lt;&gt;"",OR($C16="Yes",D16&gt;0)),K16*1000000+(MAX(-499,MIN(499,J16))+500)*1000+MIN(H16,99)*10+(50-ROW())/10,-1)</f>
        <v/>
      </c>
      <c r="M16" s="4">
        <f>IF($B16="",0,COUNTIFS(Matches!$C:$C,$A16,Matches!$I:$I,"Final",Matches!$A:$A,"Group",Matches!$L:$L,$B16)+COUNTIFS(Matches!$H:$H,$A16,Matches!$I:$I,"Final",Matches!$A:$A,"Group",Matches!$L:$L,$B16))</f>
        <v/>
      </c>
      <c r="N16" s="4">
        <f>IF($B16="",0,COUNTIFS(Matches!$K:$K,$A16,Matches!$A:$A,"Group",Matches!$L:$L,$B16))</f>
        <v/>
      </c>
      <c r="O16" s="4">
        <f>IF($B16="",0,COUNTIFS(Matches!$C:$C,$A16,Matches!$K:$K,"Draw",Matches!$A:$A,"Group",Matches!$L:$L,$B16)+COUNTIFS(Matches!$H:$H,$A16,Matches!$K:$K,"Draw",Matches!$A:$A,"Group",Matches!$L:$L,$B16))</f>
        <v/>
      </c>
      <c r="P16" s="4">
        <f>M16-N16-O16</f>
        <v/>
      </c>
      <c r="Q16" s="4">
        <f>IF($B16="",0,SUMIFS(Matches!$E:$E,Matches!$C:$C,$A16,Matches!$I:$I,"Final",Matches!$A:$A,"Group",Matches!$L:$L,$B16)+SUMIFS(Matches!$F:$F,Matches!$H:$H,$A16,Matches!$I:$I,"Final",Matches!$A:$A,"Group",Matches!$L:$L,$B16))</f>
        <v/>
      </c>
      <c r="R16" s="4">
        <f>IF($B16="",0,SUMIFS(Matches!$F:$F,Matches!$C:$C,$A16,Matches!$I:$I,"Final",Matches!$A:$A,"Group",Matches!$L:$L,$B16)+SUMIFS(Matches!$E:$E,Matches!$H:$H,$A16,Matches!$I:$I,"Final",Matches!$A:$A,"Group",Matches!$L:$L,$B16))</f>
        <v/>
      </c>
      <c r="S16" s="4">
        <f>Q16-R16</f>
        <v/>
      </c>
      <c r="T16" s="4">
        <f>3*N16+O16</f>
        <v/>
      </c>
      <c r="U16" s="4">
        <f>IF($B16="",0,IFERROR(MATCH($B16,Settings!$A$15:$A$22,0),0))</f>
        <v/>
      </c>
      <c r="V16" s="4">
        <f>IF(OR($A16="",U16=0),-1,U16*1000000000+T16*1000000+(MAX(-499,MIN(499,S16))+500)*1000+MIN(Q16,99)*10+(50-ROW())/10)</f>
        <v/>
      </c>
      <c r="W16" s="4">
        <f>IF($A16="",0,COUNTIF('Buy-ins'!$B:$B,$A16))</f>
        <v/>
      </c>
      <c r="X16" s="15">
        <f>IF($A16="",0,SUMIF('Buy-ins'!$B:$B,$A16,'Buy-ins'!$C:$C)+Settings!$B$3*COUNTIFS('Buy-ins'!$B:$B,$A16,'Buy-ins'!$C:$C,""))</f>
        <v/>
      </c>
      <c r="Y16" s="15">
        <f>IF($A16="","",'Cash-out'!G16)</f>
        <v/>
      </c>
      <c r="Z16" s="15">
        <f>IF(OR($A16="",Y16=""),"",Y16-X16)</f>
        <v/>
      </c>
      <c r="AA16" s="4">
        <f>IF(X16=0,-1,(IF(Z16="",0,Z16)+100000)*1000000+ROUND(X16*10,0)*10+(50-ROW())/10)</f>
        <v/>
      </c>
      <c r="AB16" s="4" t="n"/>
      <c r="AC16" s="4" t="n"/>
    </row>
    <row r="17">
      <c r="A17" s="4">
        <f>IF(TRIM(Players!A17)="","",TRIM(Players!A17))</f>
        <v/>
      </c>
      <c r="B17" s="4">
        <f>IF($A17="","",Players!B17&amp;"")</f>
        <v/>
      </c>
      <c r="C17" s="4">
        <f>Players!E17&amp;""</f>
        <v/>
      </c>
      <c r="D17" s="4">
        <f>IF($A17="",0,COUNTIFS(Matches!$C:$C,$A17,Matches!$I:$I,"Final",Matches!$A:$A,"&lt;&gt;Friendly")+COUNTIFS(Matches!$H:$H,$A17,Matches!$I:$I,"Final",Matches!$A:$A,"&lt;&gt;Friendly"))</f>
        <v/>
      </c>
      <c r="E17" s="4">
        <f>IF($A17="",0,COUNTIFS(Matches!$K:$K,$A17,Matches!$A:$A,"&lt;&gt;Friendly"))</f>
        <v/>
      </c>
      <c r="F17" s="4">
        <f>IF($A17="",0,COUNTIFS(Matches!$C:$C,$A17,Matches!$K:$K,"Draw",Matches!$A:$A,"&lt;&gt;Friendly")+COUNTIFS(Matches!$H:$H,$A17,Matches!$K:$K,"Draw",Matches!$A:$A,"&lt;&gt;Friendly"))</f>
        <v/>
      </c>
      <c r="G17" s="4">
        <f>D17-E17-F17</f>
        <v/>
      </c>
      <c r="H17" s="4">
        <f>IF($A17="",0,SUMIFS(Matches!$E:$E,Matches!$C:$C,$A17,Matches!$I:$I,"Final",Matches!$A:$A,"&lt;&gt;Friendly")+SUMIFS(Matches!$F:$F,Matches!$H:$H,$A17,Matches!$I:$I,"Final",Matches!$A:$A,"&lt;&gt;Friendly"))</f>
        <v/>
      </c>
      <c r="I17" s="4">
        <f>IF($A17="",0,SUMIFS(Matches!$F:$F,Matches!$C:$C,$A17,Matches!$I:$I,"Final",Matches!$A:$A,"&lt;&gt;Friendly")+SUMIFS(Matches!$E:$E,Matches!$H:$H,$A17,Matches!$I:$I,"Final",Matches!$A:$A,"&lt;&gt;Friendly"))</f>
        <v/>
      </c>
      <c r="J17" s="4">
        <f>H17-I17</f>
        <v/>
      </c>
      <c r="K17" s="4">
        <f>3*E17+F17</f>
        <v/>
      </c>
      <c r="L17" s="4">
        <f>IF(AND($A17&lt;&gt;"",OR($C17="Yes",D17&gt;0)),K17*1000000+(MAX(-499,MIN(499,J17))+500)*1000+MIN(H17,99)*10+(50-ROW())/10,-1)</f>
        <v/>
      </c>
      <c r="M17" s="4">
        <f>IF($B17="",0,COUNTIFS(Matches!$C:$C,$A17,Matches!$I:$I,"Final",Matches!$A:$A,"Group",Matches!$L:$L,$B17)+COUNTIFS(Matches!$H:$H,$A17,Matches!$I:$I,"Final",Matches!$A:$A,"Group",Matches!$L:$L,$B17))</f>
        <v/>
      </c>
      <c r="N17" s="4">
        <f>IF($B17="",0,COUNTIFS(Matches!$K:$K,$A17,Matches!$A:$A,"Group",Matches!$L:$L,$B17))</f>
        <v/>
      </c>
      <c r="O17" s="4">
        <f>IF($B17="",0,COUNTIFS(Matches!$C:$C,$A17,Matches!$K:$K,"Draw",Matches!$A:$A,"Group",Matches!$L:$L,$B17)+COUNTIFS(Matches!$H:$H,$A17,Matches!$K:$K,"Draw",Matches!$A:$A,"Group",Matches!$L:$L,$B17))</f>
        <v/>
      </c>
      <c r="P17" s="4">
        <f>M17-N17-O17</f>
        <v/>
      </c>
      <c r="Q17" s="4">
        <f>IF($B17="",0,SUMIFS(Matches!$E:$E,Matches!$C:$C,$A17,Matches!$I:$I,"Final",Matches!$A:$A,"Group",Matches!$L:$L,$B17)+SUMIFS(Matches!$F:$F,Matches!$H:$H,$A17,Matches!$I:$I,"Final",Matches!$A:$A,"Group",Matches!$L:$L,$B17))</f>
        <v/>
      </c>
      <c r="R17" s="4">
        <f>IF($B17="",0,SUMIFS(Matches!$F:$F,Matches!$C:$C,$A17,Matches!$I:$I,"Final",Matches!$A:$A,"Group",Matches!$L:$L,$B17)+SUMIFS(Matches!$E:$E,Matches!$H:$H,$A17,Matches!$I:$I,"Final",Matches!$A:$A,"Group",Matches!$L:$L,$B17))</f>
        <v/>
      </c>
      <c r="S17" s="4">
        <f>Q17-R17</f>
        <v/>
      </c>
      <c r="T17" s="4">
        <f>3*N17+O17</f>
        <v/>
      </c>
      <c r="U17" s="4">
        <f>IF($B17="",0,IFERROR(MATCH($B17,Settings!$A$15:$A$22,0),0))</f>
        <v/>
      </c>
      <c r="V17" s="4">
        <f>IF(OR($A17="",U17=0),-1,U17*1000000000+T17*1000000+(MAX(-499,MIN(499,S17))+500)*1000+MIN(Q17,99)*10+(50-ROW())/10)</f>
        <v/>
      </c>
      <c r="W17" s="4">
        <f>IF($A17="",0,COUNTIF('Buy-ins'!$B:$B,$A17))</f>
        <v/>
      </c>
      <c r="X17" s="15">
        <f>IF($A17="",0,SUMIF('Buy-ins'!$B:$B,$A17,'Buy-ins'!$C:$C)+Settings!$B$3*COUNTIFS('Buy-ins'!$B:$B,$A17,'Buy-ins'!$C:$C,""))</f>
        <v/>
      </c>
      <c r="Y17" s="15">
        <f>IF($A17="","",'Cash-out'!G17)</f>
        <v/>
      </c>
      <c r="Z17" s="15">
        <f>IF(OR($A17="",Y17=""),"",Y17-X17)</f>
        <v/>
      </c>
      <c r="AA17" s="4">
        <f>IF(X17=0,-1,(IF(Z17="",0,Z17)+100000)*1000000+ROUND(X17*10,0)*10+(50-ROW())/10)</f>
        <v/>
      </c>
      <c r="AB17" s="4" t="n"/>
      <c r="AC17" s="4" t="n"/>
    </row>
    <row r="18">
      <c r="A18" s="4">
        <f>IF(TRIM(Players!A18)="","",TRIM(Players!A18))</f>
        <v/>
      </c>
      <c r="B18" s="4">
        <f>IF($A18="","",Players!B18&amp;"")</f>
        <v/>
      </c>
      <c r="C18" s="4">
        <f>Players!E18&amp;""</f>
        <v/>
      </c>
      <c r="D18" s="4">
        <f>IF($A18="",0,COUNTIFS(Matches!$C:$C,$A18,Matches!$I:$I,"Final",Matches!$A:$A,"&lt;&gt;Friendly")+COUNTIFS(Matches!$H:$H,$A18,Matches!$I:$I,"Final",Matches!$A:$A,"&lt;&gt;Friendly"))</f>
        <v/>
      </c>
      <c r="E18" s="4">
        <f>IF($A18="",0,COUNTIFS(Matches!$K:$K,$A18,Matches!$A:$A,"&lt;&gt;Friendly"))</f>
        <v/>
      </c>
      <c r="F18" s="4">
        <f>IF($A18="",0,COUNTIFS(Matches!$C:$C,$A18,Matches!$K:$K,"Draw",Matches!$A:$A,"&lt;&gt;Friendly")+COUNTIFS(Matches!$H:$H,$A18,Matches!$K:$K,"Draw",Matches!$A:$A,"&lt;&gt;Friendly"))</f>
        <v/>
      </c>
      <c r="G18" s="4">
        <f>D18-E18-F18</f>
        <v/>
      </c>
      <c r="H18" s="4">
        <f>IF($A18="",0,SUMIFS(Matches!$E:$E,Matches!$C:$C,$A18,Matches!$I:$I,"Final",Matches!$A:$A,"&lt;&gt;Friendly")+SUMIFS(Matches!$F:$F,Matches!$H:$H,$A18,Matches!$I:$I,"Final",Matches!$A:$A,"&lt;&gt;Friendly"))</f>
        <v/>
      </c>
      <c r="I18" s="4">
        <f>IF($A18="",0,SUMIFS(Matches!$F:$F,Matches!$C:$C,$A18,Matches!$I:$I,"Final",Matches!$A:$A,"&lt;&gt;Friendly")+SUMIFS(Matches!$E:$E,Matches!$H:$H,$A18,Matches!$I:$I,"Final",Matches!$A:$A,"&lt;&gt;Friendly"))</f>
        <v/>
      </c>
      <c r="J18" s="4">
        <f>H18-I18</f>
        <v/>
      </c>
      <c r="K18" s="4">
        <f>3*E18+F18</f>
        <v/>
      </c>
      <c r="L18" s="4">
        <f>IF(AND($A18&lt;&gt;"",OR($C18="Yes",D18&gt;0)),K18*1000000+(MAX(-499,MIN(499,J18))+500)*1000+MIN(H18,99)*10+(50-ROW())/10,-1)</f>
        <v/>
      </c>
      <c r="M18" s="4">
        <f>IF($B18="",0,COUNTIFS(Matches!$C:$C,$A18,Matches!$I:$I,"Final",Matches!$A:$A,"Group",Matches!$L:$L,$B18)+COUNTIFS(Matches!$H:$H,$A18,Matches!$I:$I,"Final",Matches!$A:$A,"Group",Matches!$L:$L,$B18))</f>
        <v/>
      </c>
      <c r="N18" s="4">
        <f>IF($B18="",0,COUNTIFS(Matches!$K:$K,$A18,Matches!$A:$A,"Group",Matches!$L:$L,$B18))</f>
        <v/>
      </c>
      <c r="O18" s="4">
        <f>IF($B18="",0,COUNTIFS(Matches!$C:$C,$A18,Matches!$K:$K,"Draw",Matches!$A:$A,"Group",Matches!$L:$L,$B18)+COUNTIFS(Matches!$H:$H,$A18,Matches!$K:$K,"Draw",Matches!$A:$A,"Group",Matches!$L:$L,$B18))</f>
        <v/>
      </c>
      <c r="P18" s="4">
        <f>M18-N18-O18</f>
        <v/>
      </c>
      <c r="Q18" s="4">
        <f>IF($B18="",0,SUMIFS(Matches!$E:$E,Matches!$C:$C,$A18,Matches!$I:$I,"Final",Matches!$A:$A,"Group",Matches!$L:$L,$B18)+SUMIFS(Matches!$F:$F,Matches!$H:$H,$A18,Matches!$I:$I,"Final",Matches!$A:$A,"Group",Matches!$L:$L,$B18))</f>
        <v/>
      </c>
      <c r="R18" s="4">
        <f>IF($B18="",0,SUMIFS(Matches!$F:$F,Matches!$C:$C,$A18,Matches!$I:$I,"Final",Matches!$A:$A,"Group",Matches!$L:$L,$B18)+SUMIFS(Matches!$E:$E,Matches!$H:$H,$A18,Matches!$I:$I,"Final",Matches!$A:$A,"Group",Matches!$L:$L,$B18))</f>
        <v/>
      </c>
      <c r="S18" s="4">
        <f>Q18-R18</f>
        <v/>
      </c>
      <c r="T18" s="4">
        <f>3*N18+O18</f>
        <v/>
      </c>
      <c r="U18" s="4">
        <f>IF($B18="",0,IFERROR(MATCH($B18,Settings!$A$15:$A$22,0),0))</f>
        <v/>
      </c>
      <c r="V18" s="4">
        <f>IF(OR($A18="",U18=0),-1,U18*1000000000+T18*1000000+(MAX(-499,MIN(499,S18))+500)*1000+MIN(Q18,99)*10+(50-ROW())/10)</f>
        <v/>
      </c>
      <c r="W18" s="4">
        <f>IF($A18="",0,COUNTIF('Buy-ins'!$B:$B,$A18))</f>
        <v/>
      </c>
      <c r="X18" s="15">
        <f>IF($A18="",0,SUMIF('Buy-ins'!$B:$B,$A18,'Buy-ins'!$C:$C)+Settings!$B$3*COUNTIFS('Buy-ins'!$B:$B,$A18,'Buy-ins'!$C:$C,""))</f>
        <v/>
      </c>
      <c r="Y18" s="15">
        <f>IF($A18="","",'Cash-out'!G18)</f>
        <v/>
      </c>
      <c r="Z18" s="15">
        <f>IF(OR($A18="",Y18=""),"",Y18-X18)</f>
        <v/>
      </c>
      <c r="AA18" s="4">
        <f>IF(X18=0,-1,(IF(Z18="",0,Z18)+100000)*1000000+ROUND(X18*10,0)*10+(50-ROW())/10)</f>
        <v/>
      </c>
      <c r="AB18" s="4" t="n"/>
      <c r="AC18" s="4" t="n"/>
    </row>
    <row r="19">
      <c r="A19" s="4">
        <f>IF(TRIM(Players!A19)="","",TRIM(Players!A19))</f>
        <v/>
      </c>
      <c r="B19" s="4">
        <f>IF($A19="","",Players!B19&amp;"")</f>
        <v/>
      </c>
      <c r="C19" s="4">
        <f>Players!E19&amp;""</f>
        <v/>
      </c>
      <c r="D19" s="4">
        <f>IF($A19="",0,COUNTIFS(Matches!$C:$C,$A19,Matches!$I:$I,"Final",Matches!$A:$A,"&lt;&gt;Friendly")+COUNTIFS(Matches!$H:$H,$A19,Matches!$I:$I,"Final",Matches!$A:$A,"&lt;&gt;Friendly"))</f>
        <v/>
      </c>
      <c r="E19" s="4">
        <f>IF($A19="",0,COUNTIFS(Matches!$K:$K,$A19,Matches!$A:$A,"&lt;&gt;Friendly"))</f>
        <v/>
      </c>
      <c r="F19" s="4">
        <f>IF($A19="",0,COUNTIFS(Matches!$C:$C,$A19,Matches!$K:$K,"Draw",Matches!$A:$A,"&lt;&gt;Friendly")+COUNTIFS(Matches!$H:$H,$A19,Matches!$K:$K,"Draw",Matches!$A:$A,"&lt;&gt;Friendly"))</f>
        <v/>
      </c>
      <c r="G19" s="4">
        <f>D19-E19-F19</f>
        <v/>
      </c>
      <c r="H19" s="4">
        <f>IF($A19="",0,SUMIFS(Matches!$E:$E,Matches!$C:$C,$A19,Matches!$I:$I,"Final",Matches!$A:$A,"&lt;&gt;Friendly")+SUMIFS(Matches!$F:$F,Matches!$H:$H,$A19,Matches!$I:$I,"Final",Matches!$A:$A,"&lt;&gt;Friendly"))</f>
        <v/>
      </c>
      <c r="I19" s="4">
        <f>IF($A19="",0,SUMIFS(Matches!$F:$F,Matches!$C:$C,$A19,Matches!$I:$I,"Final",Matches!$A:$A,"&lt;&gt;Friendly")+SUMIFS(Matches!$E:$E,Matches!$H:$H,$A19,Matches!$I:$I,"Final",Matches!$A:$A,"&lt;&gt;Friendly"))</f>
        <v/>
      </c>
      <c r="J19" s="4">
        <f>H19-I19</f>
        <v/>
      </c>
      <c r="K19" s="4">
        <f>3*E19+F19</f>
        <v/>
      </c>
      <c r="L19" s="4">
        <f>IF(AND($A19&lt;&gt;"",OR($C19="Yes",D19&gt;0)),K19*1000000+(MAX(-499,MIN(499,J19))+500)*1000+MIN(H19,99)*10+(50-ROW())/10,-1)</f>
        <v/>
      </c>
      <c r="M19" s="4">
        <f>IF($B19="",0,COUNTIFS(Matches!$C:$C,$A19,Matches!$I:$I,"Final",Matches!$A:$A,"Group",Matches!$L:$L,$B19)+COUNTIFS(Matches!$H:$H,$A19,Matches!$I:$I,"Final",Matches!$A:$A,"Group",Matches!$L:$L,$B19))</f>
        <v/>
      </c>
      <c r="N19" s="4">
        <f>IF($B19="",0,COUNTIFS(Matches!$K:$K,$A19,Matches!$A:$A,"Group",Matches!$L:$L,$B19))</f>
        <v/>
      </c>
      <c r="O19" s="4">
        <f>IF($B19="",0,COUNTIFS(Matches!$C:$C,$A19,Matches!$K:$K,"Draw",Matches!$A:$A,"Group",Matches!$L:$L,$B19)+COUNTIFS(Matches!$H:$H,$A19,Matches!$K:$K,"Draw",Matches!$A:$A,"Group",Matches!$L:$L,$B19))</f>
        <v/>
      </c>
      <c r="P19" s="4">
        <f>M19-N19-O19</f>
        <v/>
      </c>
      <c r="Q19" s="4">
        <f>IF($B19="",0,SUMIFS(Matches!$E:$E,Matches!$C:$C,$A19,Matches!$I:$I,"Final",Matches!$A:$A,"Group",Matches!$L:$L,$B19)+SUMIFS(Matches!$F:$F,Matches!$H:$H,$A19,Matches!$I:$I,"Final",Matches!$A:$A,"Group",Matches!$L:$L,$B19))</f>
        <v/>
      </c>
      <c r="R19" s="4">
        <f>IF($B19="",0,SUMIFS(Matches!$F:$F,Matches!$C:$C,$A19,Matches!$I:$I,"Final",Matches!$A:$A,"Group",Matches!$L:$L,$B19)+SUMIFS(Matches!$E:$E,Matches!$H:$H,$A19,Matches!$I:$I,"Final",Matches!$A:$A,"Group",Matches!$L:$L,$B19))</f>
        <v/>
      </c>
      <c r="S19" s="4">
        <f>Q19-R19</f>
        <v/>
      </c>
      <c r="T19" s="4">
        <f>3*N19+O19</f>
        <v/>
      </c>
      <c r="U19" s="4">
        <f>IF($B19="",0,IFERROR(MATCH($B19,Settings!$A$15:$A$22,0),0))</f>
        <v/>
      </c>
      <c r="V19" s="4">
        <f>IF(OR($A19="",U19=0),-1,U19*1000000000+T19*1000000+(MAX(-499,MIN(499,S19))+500)*1000+MIN(Q19,99)*10+(50-ROW())/10)</f>
        <v/>
      </c>
      <c r="W19" s="4">
        <f>IF($A19="",0,COUNTIF('Buy-ins'!$B:$B,$A19))</f>
        <v/>
      </c>
      <c r="X19" s="15">
        <f>IF($A19="",0,SUMIF('Buy-ins'!$B:$B,$A19,'Buy-ins'!$C:$C)+Settings!$B$3*COUNTIFS('Buy-ins'!$B:$B,$A19,'Buy-ins'!$C:$C,""))</f>
        <v/>
      </c>
      <c r="Y19" s="15">
        <f>IF($A19="","",'Cash-out'!G19)</f>
        <v/>
      </c>
      <c r="Z19" s="15">
        <f>IF(OR($A19="",Y19=""),"",Y19-X19)</f>
        <v/>
      </c>
      <c r="AA19" s="4">
        <f>IF(X19=0,-1,(IF(Z19="",0,Z19)+100000)*1000000+ROUND(X19*10,0)*10+(50-ROW())/10)</f>
        <v/>
      </c>
      <c r="AB19" s="4" t="n"/>
      <c r="AC19" s="4" t="n"/>
    </row>
    <row r="20">
      <c r="A20" s="4">
        <f>IF(TRIM(Players!A20)="","",TRIM(Players!A20))</f>
        <v/>
      </c>
      <c r="B20" s="4">
        <f>IF($A20="","",Players!B20&amp;"")</f>
        <v/>
      </c>
      <c r="C20" s="4">
        <f>Players!E20&amp;""</f>
        <v/>
      </c>
      <c r="D20" s="4">
        <f>IF($A20="",0,COUNTIFS(Matches!$C:$C,$A20,Matches!$I:$I,"Final",Matches!$A:$A,"&lt;&gt;Friendly")+COUNTIFS(Matches!$H:$H,$A20,Matches!$I:$I,"Final",Matches!$A:$A,"&lt;&gt;Friendly"))</f>
        <v/>
      </c>
      <c r="E20" s="4">
        <f>IF($A20="",0,COUNTIFS(Matches!$K:$K,$A20,Matches!$A:$A,"&lt;&gt;Friendly"))</f>
        <v/>
      </c>
      <c r="F20" s="4">
        <f>IF($A20="",0,COUNTIFS(Matches!$C:$C,$A20,Matches!$K:$K,"Draw",Matches!$A:$A,"&lt;&gt;Friendly")+COUNTIFS(Matches!$H:$H,$A20,Matches!$K:$K,"Draw",Matches!$A:$A,"&lt;&gt;Friendly"))</f>
        <v/>
      </c>
      <c r="G20" s="4">
        <f>D20-E20-F20</f>
        <v/>
      </c>
      <c r="H20" s="4">
        <f>IF($A20="",0,SUMIFS(Matches!$E:$E,Matches!$C:$C,$A20,Matches!$I:$I,"Final",Matches!$A:$A,"&lt;&gt;Friendly")+SUMIFS(Matches!$F:$F,Matches!$H:$H,$A20,Matches!$I:$I,"Final",Matches!$A:$A,"&lt;&gt;Friendly"))</f>
        <v/>
      </c>
      <c r="I20" s="4">
        <f>IF($A20="",0,SUMIFS(Matches!$F:$F,Matches!$C:$C,$A20,Matches!$I:$I,"Final",Matches!$A:$A,"&lt;&gt;Friendly")+SUMIFS(Matches!$E:$E,Matches!$H:$H,$A20,Matches!$I:$I,"Final",Matches!$A:$A,"&lt;&gt;Friendly"))</f>
        <v/>
      </c>
      <c r="J20" s="4">
        <f>H20-I20</f>
        <v/>
      </c>
      <c r="K20" s="4">
        <f>3*E20+F20</f>
        <v/>
      </c>
      <c r="L20" s="4">
        <f>IF(AND($A20&lt;&gt;"",OR($C20="Yes",D20&gt;0)),K20*1000000+(MAX(-499,MIN(499,J20))+500)*1000+MIN(H20,99)*10+(50-ROW())/10,-1)</f>
        <v/>
      </c>
      <c r="M20" s="4">
        <f>IF($B20="",0,COUNTIFS(Matches!$C:$C,$A20,Matches!$I:$I,"Final",Matches!$A:$A,"Group",Matches!$L:$L,$B20)+COUNTIFS(Matches!$H:$H,$A20,Matches!$I:$I,"Final",Matches!$A:$A,"Group",Matches!$L:$L,$B20))</f>
        <v/>
      </c>
      <c r="N20" s="4">
        <f>IF($B20="",0,COUNTIFS(Matches!$K:$K,$A20,Matches!$A:$A,"Group",Matches!$L:$L,$B20))</f>
        <v/>
      </c>
      <c r="O20" s="4">
        <f>IF($B20="",0,COUNTIFS(Matches!$C:$C,$A20,Matches!$K:$K,"Draw",Matches!$A:$A,"Group",Matches!$L:$L,$B20)+COUNTIFS(Matches!$H:$H,$A20,Matches!$K:$K,"Draw",Matches!$A:$A,"Group",Matches!$L:$L,$B20))</f>
        <v/>
      </c>
      <c r="P20" s="4">
        <f>M20-N20-O20</f>
        <v/>
      </c>
      <c r="Q20" s="4">
        <f>IF($B20="",0,SUMIFS(Matches!$E:$E,Matches!$C:$C,$A20,Matches!$I:$I,"Final",Matches!$A:$A,"Group",Matches!$L:$L,$B20)+SUMIFS(Matches!$F:$F,Matches!$H:$H,$A20,Matches!$I:$I,"Final",Matches!$A:$A,"Group",Matches!$L:$L,$B20))</f>
        <v/>
      </c>
      <c r="R20" s="4">
        <f>IF($B20="",0,SUMIFS(Matches!$F:$F,Matches!$C:$C,$A20,Matches!$I:$I,"Final",Matches!$A:$A,"Group",Matches!$L:$L,$B20)+SUMIFS(Matches!$E:$E,Matches!$H:$H,$A20,Matches!$I:$I,"Final",Matches!$A:$A,"Group",Matches!$L:$L,$B20))</f>
        <v/>
      </c>
      <c r="S20" s="4">
        <f>Q20-R20</f>
        <v/>
      </c>
      <c r="T20" s="4">
        <f>3*N20+O20</f>
        <v/>
      </c>
      <c r="U20" s="4">
        <f>IF($B20="",0,IFERROR(MATCH($B20,Settings!$A$15:$A$22,0),0))</f>
        <v/>
      </c>
      <c r="V20" s="4">
        <f>IF(OR($A20="",U20=0),-1,U20*1000000000+T20*1000000+(MAX(-499,MIN(499,S20))+500)*1000+MIN(Q20,99)*10+(50-ROW())/10)</f>
        <v/>
      </c>
      <c r="W20" s="4">
        <f>IF($A20="",0,COUNTIF('Buy-ins'!$B:$B,$A20))</f>
        <v/>
      </c>
      <c r="X20" s="15">
        <f>IF($A20="",0,SUMIF('Buy-ins'!$B:$B,$A20,'Buy-ins'!$C:$C)+Settings!$B$3*COUNTIFS('Buy-ins'!$B:$B,$A20,'Buy-ins'!$C:$C,""))</f>
        <v/>
      </c>
      <c r="Y20" s="15">
        <f>IF($A20="","",'Cash-out'!G20)</f>
        <v/>
      </c>
      <c r="Z20" s="15">
        <f>IF(OR($A20="",Y20=""),"",Y20-X20)</f>
        <v/>
      </c>
      <c r="AA20" s="4">
        <f>IF(X20=0,-1,(IF(Z20="",0,Z20)+100000)*1000000+ROUND(X20*10,0)*10+(50-ROW())/10)</f>
        <v/>
      </c>
      <c r="AB20" s="4" t="n"/>
      <c r="AC20" s="4" t="n"/>
    </row>
    <row r="21">
      <c r="A21" s="4">
        <f>IF(TRIM(Players!A21)="","",TRIM(Players!A21))</f>
        <v/>
      </c>
      <c r="B21" s="4">
        <f>IF($A21="","",Players!B21&amp;"")</f>
        <v/>
      </c>
      <c r="C21" s="4">
        <f>Players!E21&amp;""</f>
        <v/>
      </c>
      <c r="D21" s="4">
        <f>IF($A21="",0,COUNTIFS(Matches!$C:$C,$A21,Matches!$I:$I,"Final",Matches!$A:$A,"&lt;&gt;Friendly")+COUNTIFS(Matches!$H:$H,$A21,Matches!$I:$I,"Final",Matches!$A:$A,"&lt;&gt;Friendly"))</f>
        <v/>
      </c>
      <c r="E21" s="4">
        <f>IF($A21="",0,COUNTIFS(Matches!$K:$K,$A21,Matches!$A:$A,"&lt;&gt;Friendly"))</f>
        <v/>
      </c>
      <c r="F21" s="4">
        <f>IF($A21="",0,COUNTIFS(Matches!$C:$C,$A21,Matches!$K:$K,"Draw",Matches!$A:$A,"&lt;&gt;Friendly")+COUNTIFS(Matches!$H:$H,$A21,Matches!$K:$K,"Draw",Matches!$A:$A,"&lt;&gt;Friendly"))</f>
        <v/>
      </c>
      <c r="G21" s="4">
        <f>D21-E21-F21</f>
        <v/>
      </c>
      <c r="H21" s="4">
        <f>IF($A21="",0,SUMIFS(Matches!$E:$E,Matches!$C:$C,$A21,Matches!$I:$I,"Final",Matches!$A:$A,"&lt;&gt;Friendly")+SUMIFS(Matches!$F:$F,Matches!$H:$H,$A21,Matches!$I:$I,"Final",Matches!$A:$A,"&lt;&gt;Friendly"))</f>
        <v/>
      </c>
      <c r="I21" s="4">
        <f>IF($A21="",0,SUMIFS(Matches!$F:$F,Matches!$C:$C,$A21,Matches!$I:$I,"Final",Matches!$A:$A,"&lt;&gt;Friendly")+SUMIFS(Matches!$E:$E,Matches!$H:$H,$A21,Matches!$I:$I,"Final",Matches!$A:$A,"&lt;&gt;Friendly"))</f>
        <v/>
      </c>
      <c r="J21" s="4">
        <f>H21-I21</f>
        <v/>
      </c>
      <c r="K21" s="4">
        <f>3*E21+F21</f>
        <v/>
      </c>
      <c r="L21" s="4">
        <f>IF(AND($A21&lt;&gt;"",OR($C21="Yes",D21&gt;0)),K21*1000000+(MAX(-499,MIN(499,J21))+500)*1000+MIN(H21,99)*10+(50-ROW())/10,-1)</f>
        <v/>
      </c>
      <c r="M21" s="4">
        <f>IF($B21="",0,COUNTIFS(Matches!$C:$C,$A21,Matches!$I:$I,"Final",Matches!$A:$A,"Group",Matches!$L:$L,$B21)+COUNTIFS(Matches!$H:$H,$A21,Matches!$I:$I,"Final",Matches!$A:$A,"Group",Matches!$L:$L,$B21))</f>
        <v/>
      </c>
      <c r="N21" s="4">
        <f>IF($B21="",0,COUNTIFS(Matches!$K:$K,$A21,Matches!$A:$A,"Group",Matches!$L:$L,$B21))</f>
        <v/>
      </c>
      <c r="O21" s="4">
        <f>IF($B21="",0,COUNTIFS(Matches!$C:$C,$A21,Matches!$K:$K,"Draw",Matches!$A:$A,"Group",Matches!$L:$L,$B21)+COUNTIFS(Matches!$H:$H,$A21,Matches!$K:$K,"Draw",Matches!$A:$A,"Group",Matches!$L:$L,$B21))</f>
        <v/>
      </c>
      <c r="P21" s="4">
        <f>M21-N21-O21</f>
        <v/>
      </c>
      <c r="Q21" s="4">
        <f>IF($B21="",0,SUMIFS(Matches!$E:$E,Matches!$C:$C,$A21,Matches!$I:$I,"Final",Matches!$A:$A,"Group",Matches!$L:$L,$B21)+SUMIFS(Matches!$F:$F,Matches!$H:$H,$A21,Matches!$I:$I,"Final",Matches!$A:$A,"Group",Matches!$L:$L,$B21))</f>
        <v/>
      </c>
      <c r="R21" s="4">
        <f>IF($B21="",0,SUMIFS(Matches!$F:$F,Matches!$C:$C,$A21,Matches!$I:$I,"Final",Matches!$A:$A,"Group",Matches!$L:$L,$B21)+SUMIFS(Matches!$E:$E,Matches!$H:$H,$A21,Matches!$I:$I,"Final",Matches!$A:$A,"Group",Matches!$L:$L,$B21))</f>
        <v/>
      </c>
      <c r="S21" s="4">
        <f>Q21-R21</f>
        <v/>
      </c>
      <c r="T21" s="4">
        <f>3*N21+O21</f>
        <v/>
      </c>
      <c r="U21" s="4">
        <f>IF($B21="",0,IFERROR(MATCH($B21,Settings!$A$15:$A$22,0),0))</f>
        <v/>
      </c>
      <c r="V21" s="4">
        <f>IF(OR($A21="",U21=0),-1,U21*1000000000+T21*1000000+(MAX(-499,MIN(499,S21))+500)*1000+MIN(Q21,99)*10+(50-ROW())/10)</f>
        <v/>
      </c>
      <c r="W21" s="4">
        <f>IF($A21="",0,COUNTIF('Buy-ins'!$B:$B,$A21))</f>
        <v/>
      </c>
      <c r="X21" s="15">
        <f>IF($A21="",0,SUMIF('Buy-ins'!$B:$B,$A21,'Buy-ins'!$C:$C)+Settings!$B$3*COUNTIFS('Buy-ins'!$B:$B,$A21,'Buy-ins'!$C:$C,""))</f>
        <v/>
      </c>
      <c r="Y21" s="15">
        <f>IF($A21="","",'Cash-out'!G21)</f>
        <v/>
      </c>
      <c r="Z21" s="15">
        <f>IF(OR($A21="",Y21=""),"",Y21-X21)</f>
        <v/>
      </c>
      <c r="AA21" s="4">
        <f>IF(X21=0,-1,(IF(Z21="",0,Z21)+100000)*1000000+ROUND(X21*10,0)*10+(50-ROW())/10)</f>
        <v/>
      </c>
      <c r="AB21" s="4" t="n"/>
      <c r="AC21" s="4" t="n"/>
    </row>
    <row r="22">
      <c r="A22" s="4">
        <f>IF(TRIM(Players!A22)="","",TRIM(Players!A22))</f>
        <v/>
      </c>
      <c r="B22" s="4">
        <f>IF($A22="","",Players!B22&amp;"")</f>
        <v/>
      </c>
      <c r="C22" s="4">
        <f>Players!E22&amp;""</f>
        <v/>
      </c>
      <c r="D22" s="4">
        <f>IF($A22="",0,COUNTIFS(Matches!$C:$C,$A22,Matches!$I:$I,"Final",Matches!$A:$A,"&lt;&gt;Friendly")+COUNTIFS(Matches!$H:$H,$A22,Matches!$I:$I,"Final",Matches!$A:$A,"&lt;&gt;Friendly"))</f>
        <v/>
      </c>
      <c r="E22" s="4">
        <f>IF($A22="",0,COUNTIFS(Matches!$K:$K,$A22,Matches!$A:$A,"&lt;&gt;Friendly"))</f>
        <v/>
      </c>
      <c r="F22" s="4">
        <f>IF($A22="",0,COUNTIFS(Matches!$C:$C,$A22,Matches!$K:$K,"Draw",Matches!$A:$A,"&lt;&gt;Friendly")+COUNTIFS(Matches!$H:$H,$A22,Matches!$K:$K,"Draw",Matches!$A:$A,"&lt;&gt;Friendly"))</f>
        <v/>
      </c>
      <c r="G22" s="4">
        <f>D22-E22-F22</f>
        <v/>
      </c>
      <c r="H22" s="4">
        <f>IF($A22="",0,SUMIFS(Matches!$E:$E,Matches!$C:$C,$A22,Matches!$I:$I,"Final",Matches!$A:$A,"&lt;&gt;Friendly")+SUMIFS(Matches!$F:$F,Matches!$H:$H,$A22,Matches!$I:$I,"Final",Matches!$A:$A,"&lt;&gt;Friendly"))</f>
        <v/>
      </c>
      <c r="I22" s="4">
        <f>IF($A22="",0,SUMIFS(Matches!$F:$F,Matches!$C:$C,$A22,Matches!$I:$I,"Final",Matches!$A:$A,"&lt;&gt;Friendly")+SUMIFS(Matches!$E:$E,Matches!$H:$H,$A22,Matches!$I:$I,"Final",Matches!$A:$A,"&lt;&gt;Friendly"))</f>
        <v/>
      </c>
      <c r="J22" s="4">
        <f>H22-I22</f>
        <v/>
      </c>
      <c r="K22" s="4">
        <f>3*E22+F22</f>
        <v/>
      </c>
      <c r="L22" s="4">
        <f>IF(AND($A22&lt;&gt;"",OR($C22="Yes",D22&gt;0)),K22*1000000+(MAX(-499,MIN(499,J22))+500)*1000+MIN(H22,99)*10+(50-ROW())/10,-1)</f>
        <v/>
      </c>
      <c r="M22" s="4">
        <f>IF($B22="",0,COUNTIFS(Matches!$C:$C,$A22,Matches!$I:$I,"Final",Matches!$A:$A,"Group",Matches!$L:$L,$B22)+COUNTIFS(Matches!$H:$H,$A22,Matches!$I:$I,"Final",Matches!$A:$A,"Group",Matches!$L:$L,$B22))</f>
        <v/>
      </c>
      <c r="N22" s="4">
        <f>IF($B22="",0,COUNTIFS(Matches!$K:$K,$A22,Matches!$A:$A,"Group",Matches!$L:$L,$B22))</f>
        <v/>
      </c>
      <c r="O22" s="4">
        <f>IF($B22="",0,COUNTIFS(Matches!$C:$C,$A22,Matches!$K:$K,"Draw",Matches!$A:$A,"Group",Matches!$L:$L,$B22)+COUNTIFS(Matches!$H:$H,$A22,Matches!$K:$K,"Draw",Matches!$A:$A,"Group",Matches!$L:$L,$B22))</f>
        <v/>
      </c>
      <c r="P22" s="4">
        <f>M22-N22-O22</f>
        <v/>
      </c>
      <c r="Q22" s="4">
        <f>IF($B22="",0,SUMIFS(Matches!$E:$E,Matches!$C:$C,$A22,Matches!$I:$I,"Final",Matches!$A:$A,"Group",Matches!$L:$L,$B22)+SUMIFS(Matches!$F:$F,Matches!$H:$H,$A22,Matches!$I:$I,"Final",Matches!$A:$A,"Group",Matches!$L:$L,$B22))</f>
        <v/>
      </c>
      <c r="R22" s="4">
        <f>IF($B22="",0,SUMIFS(Matches!$F:$F,Matches!$C:$C,$A22,Matches!$I:$I,"Final",Matches!$A:$A,"Group",Matches!$L:$L,$B22)+SUMIFS(Matches!$E:$E,Matches!$H:$H,$A22,Matches!$I:$I,"Final",Matches!$A:$A,"Group",Matches!$L:$L,$B22))</f>
        <v/>
      </c>
      <c r="S22" s="4">
        <f>Q22-R22</f>
        <v/>
      </c>
      <c r="T22" s="4">
        <f>3*N22+O22</f>
        <v/>
      </c>
      <c r="U22" s="4">
        <f>IF($B22="",0,IFERROR(MATCH($B22,Settings!$A$15:$A$22,0),0))</f>
        <v/>
      </c>
      <c r="V22" s="4">
        <f>IF(OR($A22="",U22=0),-1,U22*1000000000+T22*1000000+(MAX(-499,MIN(499,S22))+500)*1000+MIN(Q22,99)*10+(50-ROW())/10)</f>
        <v/>
      </c>
      <c r="W22" s="4">
        <f>IF($A22="",0,COUNTIF('Buy-ins'!$B:$B,$A22))</f>
        <v/>
      </c>
      <c r="X22" s="15">
        <f>IF($A22="",0,SUMIF('Buy-ins'!$B:$B,$A22,'Buy-ins'!$C:$C)+Settings!$B$3*COUNTIFS('Buy-ins'!$B:$B,$A22,'Buy-ins'!$C:$C,""))</f>
        <v/>
      </c>
      <c r="Y22" s="15">
        <f>IF($A22="","",'Cash-out'!G22)</f>
        <v/>
      </c>
      <c r="Z22" s="15">
        <f>IF(OR($A22="",Y22=""),"",Y22-X22)</f>
        <v/>
      </c>
      <c r="AA22" s="4">
        <f>IF(X22=0,-1,(IF(Z22="",0,Z22)+100000)*1000000+ROUND(X22*10,0)*10+(50-ROW())/10)</f>
        <v/>
      </c>
      <c r="AB22" s="4" t="n"/>
      <c r="AC22" s="4" t="n"/>
    </row>
    <row r="23">
      <c r="A23" s="4">
        <f>IF(TRIM(Players!A23)="","",TRIM(Players!A23))</f>
        <v/>
      </c>
      <c r="B23" s="4">
        <f>IF($A23="","",Players!B23&amp;"")</f>
        <v/>
      </c>
      <c r="C23" s="4">
        <f>Players!E23&amp;""</f>
        <v/>
      </c>
      <c r="D23" s="4">
        <f>IF($A23="",0,COUNTIFS(Matches!$C:$C,$A23,Matches!$I:$I,"Final",Matches!$A:$A,"&lt;&gt;Friendly")+COUNTIFS(Matches!$H:$H,$A23,Matches!$I:$I,"Final",Matches!$A:$A,"&lt;&gt;Friendly"))</f>
        <v/>
      </c>
      <c r="E23" s="4">
        <f>IF($A23="",0,COUNTIFS(Matches!$K:$K,$A23,Matches!$A:$A,"&lt;&gt;Friendly"))</f>
        <v/>
      </c>
      <c r="F23" s="4">
        <f>IF($A23="",0,COUNTIFS(Matches!$C:$C,$A23,Matches!$K:$K,"Draw",Matches!$A:$A,"&lt;&gt;Friendly")+COUNTIFS(Matches!$H:$H,$A23,Matches!$K:$K,"Draw",Matches!$A:$A,"&lt;&gt;Friendly"))</f>
        <v/>
      </c>
      <c r="G23" s="4">
        <f>D23-E23-F23</f>
        <v/>
      </c>
      <c r="H23" s="4">
        <f>IF($A23="",0,SUMIFS(Matches!$E:$E,Matches!$C:$C,$A23,Matches!$I:$I,"Final",Matches!$A:$A,"&lt;&gt;Friendly")+SUMIFS(Matches!$F:$F,Matches!$H:$H,$A23,Matches!$I:$I,"Final",Matches!$A:$A,"&lt;&gt;Friendly"))</f>
        <v/>
      </c>
      <c r="I23" s="4">
        <f>IF($A23="",0,SUMIFS(Matches!$F:$F,Matches!$C:$C,$A23,Matches!$I:$I,"Final",Matches!$A:$A,"&lt;&gt;Friendly")+SUMIFS(Matches!$E:$E,Matches!$H:$H,$A23,Matches!$I:$I,"Final",Matches!$A:$A,"&lt;&gt;Friendly"))</f>
        <v/>
      </c>
      <c r="J23" s="4">
        <f>H23-I23</f>
        <v/>
      </c>
      <c r="K23" s="4">
        <f>3*E23+F23</f>
        <v/>
      </c>
      <c r="L23" s="4">
        <f>IF(AND($A23&lt;&gt;"",OR($C23="Yes",D23&gt;0)),K23*1000000+(MAX(-499,MIN(499,J23))+500)*1000+MIN(H23,99)*10+(50-ROW())/10,-1)</f>
        <v/>
      </c>
      <c r="M23" s="4">
        <f>IF($B23="",0,COUNTIFS(Matches!$C:$C,$A23,Matches!$I:$I,"Final",Matches!$A:$A,"Group",Matches!$L:$L,$B23)+COUNTIFS(Matches!$H:$H,$A23,Matches!$I:$I,"Final",Matches!$A:$A,"Group",Matches!$L:$L,$B23))</f>
        <v/>
      </c>
      <c r="N23" s="4">
        <f>IF($B23="",0,COUNTIFS(Matches!$K:$K,$A23,Matches!$A:$A,"Group",Matches!$L:$L,$B23))</f>
        <v/>
      </c>
      <c r="O23" s="4">
        <f>IF($B23="",0,COUNTIFS(Matches!$C:$C,$A23,Matches!$K:$K,"Draw",Matches!$A:$A,"Group",Matches!$L:$L,$B23)+COUNTIFS(Matches!$H:$H,$A23,Matches!$K:$K,"Draw",Matches!$A:$A,"Group",Matches!$L:$L,$B23))</f>
        <v/>
      </c>
      <c r="P23" s="4">
        <f>M23-N23-O23</f>
        <v/>
      </c>
      <c r="Q23" s="4">
        <f>IF($B23="",0,SUMIFS(Matches!$E:$E,Matches!$C:$C,$A23,Matches!$I:$I,"Final",Matches!$A:$A,"Group",Matches!$L:$L,$B23)+SUMIFS(Matches!$F:$F,Matches!$H:$H,$A23,Matches!$I:$I,"Final",Matches!$A:$A,"Group",Matches!$L:$L,$B23))</f>
        <v/>
      </c>
      <c r="R23" s="4">
        <f>IF($B23="",0,SUMIFS(Matches!$F:$F,Matches!$C:$C,$A23,Matches!$I:$I,"Final",Matches!$A:$A,"Group",Matches!$L:$L,$B23)+SUMIFS(Matches!$E:$E,Matches!$H:$H,$A23,Matches!$I:$I,"Final",Matches!$A:$A,"Group",Matches!$L:$L,$B23))</f>
        <v/>
      </c>
      <c r="S23" s="4">
        <f>Q23-R23</f>
        <v/>
      </c>
      <c r="T23" s="4">
        <f>3*N23+O23</f>
        <v/>
      </c>
      <c r="U23" s="4">
        <f>IF($B23="",0,IFERROR(MATCH($B23,Settings!$A$15:$A$22,0),0))</f>
        <v/>
      </c>
      <c r="V23" s="4">
        <f>IF(OR($A23="",U23=0),-1,U23*1000000000+T23*1000000+(MAX(-499,MIN(499,S23))+500)*1000+MIN(Q23,99)*10+(50-ROW())/10)</f>
        <v/>
      </c>
      <c r="W23" s="4">
        <f>IF($A23="",0,COUNTIF('Buy-ins'!$B:$B,$A23))</f>
        <v/>
      </c>
      <c r="X23" s="15">
        <f>IF($A23="",0,SUMIF('Buy-ins'!$B:$B,$A23,'Buy-ins'!$C:$C)+Settings!$B$3*COUNTIFS('Buy-ins'!$B:$B,$A23,'Buy-ins'!$C:$C,""))</f>
        <v/>
      </c>
      <c r="Y23" s="15">
        <f>IF($A23="","",'Cash-out'!G23)</f>
        <v/>
      </c>
      <c r="Z23" s="15">
        <f>IF(OR($A23="",Y23=""),"",Y23-X23)</f>
        <v/>
      </c>
      <c r="AA23" s="4">
        <f>IF(X23=0,-1,(IF(Z23="",0,Z23)+100000)*1000000+ROUND(X23*10,0)*10+(50-ROW())/10)</f>
        <v/>
      </c>
      <c r="AB23" s="4" t="n"/>
      <c r="AC23" s="4" t="n"/>
    </row>
    <row r="24">
      <c r="A24" s="4">
        <f>IF(TRIM(Players!A24)="","",TRIM(Players!A24))</f>
        <v/>
      </c>
      <c r="B24" s="4">
        <f>IF($A24="","",Players!B24&amp;"")</f>
        <v/>
      </c>
      <c r="C24" s="4">
        <f>Players!E24&amp;""</f>
        <v/>
      </c>
      <c r="D24" s="4">
        <f>IF($A24="",0,COUNTIFS(Matches!$C:$C,$A24,Matches!$I:$I,"Final",Matches!$A:$A,"&lt;&gt;Friendly")+COUNTIFS(Matches!$H:$H,$A24,Matches!$I:$I,"Final",Matches!$A:$A,"&lt;&gt;Friendly"))</f>
        <v/>
      </c>
      <c r="E24" s="4">
        <f>IF($A24="",0,COUNTIFS(Matches!$K:$K,$A24,Matches!$A:$A,"&lt;&gt;Friendly"))</f>
        <v/>
      </c>
      <c r="F24" s="4">
        <f>IF($A24="",0,COUNTIFS(Matches!$C:$C,$A24,Matches!$K:$K,"Draw",Matches!$A:$A,"&lt;&gt;Friendly")+COUNTIFS(Matches!$H:$H,$A24,Matches!$K:$K,"Draw",Matches!$A:$A,"&lt;&gt;Friendly"))</f>
        <v/>
      </c>
      <c r="G24" s="4">
        <f>D24-E24-F24</f>
        <v/>
      </c>
      <c r="H24" s="4">
        <f>IF($A24="",0,SUMIFS(Matches!$E:$E,Matches!$C:$C,$A24,Matches!$I:$I,"Final",Matches!$A:$A,"&lt;&gt;Friendly")+SUMIFS(Matches!$F:$F,Matches!$H:$H,$A24,Matches!$I:$I,"Final",Matches!$A:$A,"&lt;&gt;Friendly"))</f>
        <v/>
      </c>
      <c r="I24" s="4">
        <f>IF($A24="",0,SUMIFS(Matches!$F:$F,Matches!$C:$C,$A24,Matches!$I:$I,"Final",Matches!$A:$A,"&lt;&gt;Friendly")+SUMIFS(Matches!$E:$E,Matches!$H:$H,$A24,Matches!$I:$I,"Final",Matches!$A:$A,"&lt;&gt;Friendly"))</f>
        <v/>
      </c>
      <c r="J24" s="4">
        <f>H24-I24</f>
        <v/>
      </c>
      <c r="K24" s="4">
        <f>3*E24+F24</f>
        <v/>
      </c>
      <c r="L24" s="4">
        <f>IF(AND($A24&lt;&gt;"",OR($C24="Yes",D24&gt;0)),K24*1000000+(MAX(-499,MIN(499,J24))+500)*1000+MIN(H24,99)*10+(50-ROW())/10,-1)</f>
        <v/>
      </c>
      <c r="M24" s="4">
        <f>IF($B24="",0,COUNTIFS(Matches!$C:$C,$A24,Matches!$I:$I,"Final",Matches!$A:$A,"Group",Matches!$L:$L,$B24)+COUNTIFS(Matches!$H:$H,$A24,Matches!$I:$I,"Final",Matches!$A:$A,"Group",Matches!$L:$L,$B24))</f>
        <v/>
      </c>
      <c r="N24" s="4">
        <f>IF($B24="",0,COUNTIFS(Matches!$K:$K,$A24,Matches!$A:$A,"Group",Matches!$L:$L,$B24))</f>
        <v/>
      </c>
      <c r="O24" s="4">
        <f>IF($B24="",0,COUNTIFS(Matches!$C:$C,$A24,Matches!$K:$K,"Draw",Matches!$A:$A,"Group",Matches!$L:$L,$B24)+COUNTIFS(Matches!$H:$H,$A24,Matches!$K:$K,"Draw",Matches!$A:$A,"Group",Matches!$L:$L,$B24))</f>
        <v/>
      </c>
      <c r="P24" s="4">
        <f>M24-N24-O24</f>
        <v/>
      </c>
      <c r="Q24" s="4">
        <f>IF($B24="",0,SUMIFS(Matches!$E:$E,Matches!$C:$C,$A24,Matches!$I:$I,"Final",Matches!$A:$A,"Group",Matches!$L:$L,$B24)+SUMIFS(Matches!$F:$F,Matches!$H:$H,$A24,Matches!$I:$I,"Final",Matches!$A:$A,"Group",Matches!$L:$L,$B24))</f>
        <v/>
      </c>
      <c r="R24" s="4">
        <f>IF($B24="",0,SUMIFS(Matches!$F:$F,Matches!$C:$C,$A24,Matches!$I:$I,"Final",Matches!$A:$A,"Group",Matches!$L:$L,$B24)+SUMIFS(Matches!$E:$E,Matches!$H:$H,$A24,Matches!$I:$I,"Final",Matches!$A:$A,"Group",Matches!$L:$L,$B24))</f>
        <v/>
      </c>
      <c r="S24" s="4">
        <f>Q24-R24</f>
        <v/>
      </c>
      <c r="T24" s="4">
        <f>3*N24+O24</f>
        <v/>
      </c>
      <c r="U24" s="4">
        <f>IF($B24="",0,IFERROR(MATCH($B24,Settings!$A$15:$A$22,0),0))</f>
        <v/>
      </c>
      <c r="V24" s="4">
        <f>IF(OR($A24="",U24=0),-1,U24*1000000000+T24*1000000+(MAX(-499,MIN(499,S24))+500)*1000+MIN(Q24,99)*10+(50-ROW())/10)</f>
        <v/>
      </c>
      <c r="W24" s="4">
        <f>IF($A24="",0,COUNTIF('Buy-ins'!$B:$B,$A24))</f>
        <v/>
      </c>
      <c r="X24" s="15">
        <f>IF($A24="",0,SUMIF('Buy-ins'!$B:$B,$A24,'Buy-ins'!$C:$C)+Settings!$B$3*COUNTIFS('Buy-ins'!$B:$B,$A24,'Buy-ins'!$C:$C,""))</f>
        <v/>
      </c>
      <c r="Y24" s="15">
        <f>IF($A24="","",'Cash-out'!G24)</f>
        <v/>
      </c>
      <c r="Z24" s="15">
        <f>IF(OR($A24="",Y24=""),"",Y24-X24)</f>
        <v/>
      </c>
      <c r="AA24" s="4">
        <f>IF(X24=0,-1,(IF(Z24="",0,Z24)+100000)*1000000+ROUND(X24*10,0)*10+(50-ROW())/10)</f>
        <v/>
      </c>
      <c r="AB24" s="4" t="n"/>
      <c r="AC24" s="4" t="n"/>
    </row>
    <row r="25">
      <c r="A25" s="4">
        <f>IF(TRIM(Players!A25)="","",TRIM(Players!A25))</f>
        <v/>
      </c>
      <c r="B25" s="4">
        <f>IF($A25="","",Players!B25&amp;"")</f>
        <v/>
      </c>
      <c r="C25" s="4">
        <f>Players!E25&amp;""</f>
        <v/>
      </c>
      <c r="D25" s="4">
        <f>IF($A25="",0,COUNTIFS(Matches!$C:$C,$A25,Matches!$I:$I,"Final",Matches!$A:$A,"&lt;&gt;Friendly")+COUNTIFS(Matches!$H:$H,$A25,Matches!$I:$I,"Final",Matches!$A:$A,"&lt;&gt;Friendly"))</f>
        <v/>
      </c>
      <c r="E25" s="4">
        <f>IF($A25="",0,COUNTIFS(Matches!$K:$K,$A25,Matches!$A:$A,"&lt;&gt;Friendly"))</f>
        <v/>
      </c>
      <c r="F25" s="4">
        <f>IF($A25="",0,COUNTIFS(Matches!$C:$C,$A25,Matches!$K:$K,"Draw",Matches!$A:$A,"&lt;&gt;Friendly")+COUNTIFS(Matches!$H:$H,$A25,Matches!$K:$K,"Draw",Matches!$A:$A,"&lt;&gt;Friendly"))</f>
        <v/>
      </c>
      <c r="G25" s="4">
        <f>D25-E25-F25</f>
        <v/>
      </c>
      <c r="H25" s="4">
        <f>IF($A25="",0,SUMIFS(Matches!$E:$E,Matches!$C:$C,$A25,Matches!$I:$I,"Final",Matches!$A:$A,"&lt;&gt;Friendly")+SUMIFS(Matches!$F:$F,Matches!$H:$H,$A25,Matches!$I:$I,"Final",Matches!$A:$A,"&lt;&gt;Friendly"))</f>
        <v/>
      </c>
      <c r="I25" s="4">
        <f>IF($A25="",0,SUMIFS(Matches!$F:$F,Matches!$C:$C,$A25,Matches!$I:$I,"Final",Matches!$A:$A,"&lt;&gt;Friendly")+SUMIFS(Matches!$E:$E,Matches!$H:$H,$A25,Matches!$I:$I,"Final",Matches!$A:$A,"&lt;&gt;Friendly"))</f>
        <v/>
      </c>
      <c r="J25" s="4">
        <f>H25-I25</f>
        <v/>
      </c>
      <c r="K25" s="4">
        <f>3*E25+F25</f>
        <v/>
      </c>
      <c r="L25" s="4">
        <f>IF(AND($A25&lt;&gt;"",OR($C25="Yes",D25&gt;0)),K25*1000000+(MAX(-499,MIN(499,J25))+500)*1000+MIN(H25,99)*10+(50-ROW())/10,-1)</f>
        <v/>
      </c>
      <c r="M25" s="4">
        <f>IF($B25="",0,COUNTIFS(Matches!$C:$C,$A25,Matches!$I:$I,"Final",Matches!$A:$A,"Group",Matches!$L:$L,$B25)+COUNTIFS(Matches!$H:$H,$A25,Matches!$I:$I,"Final",Matches!$A:$A,"Group",Matches!$L:$L,$B25))</f>
        <v/>
      </c>
      <c r="N25" s="4">
        <f>IF($B25="",0,COUNTIFS(Matches!$K:$K,$A25,Matches!$A:$A,"Group",Matches!$L:$L,$B25))</f>
        <v/>
      </c>
      <c r="O25" s="4">
        <f>IF($B25="",0,COUNTIFS(Matches!$C:$C,$A25,Matches!$K:$K,"Draw",Matches!$A:$A,"Group",Matches!$L:$L,$B25)+COUNTIFS(Matches!$H:$H,$A25,Matches!$K:$K,"Draw",Matches!$A:$A,"Group",Matches!$L:$L,$B25))</f>
        <v/>
      </c>
      <c r="P25" s="4">
        <f>M25-N25-O25</f>
        <v/>
      </c>
      <c r="Q25" s="4">
        <f>IF($B25="",0,SUMIFS(Matches!$E:$E,Matches!$C:$C,$A25,Matches!$I:$I,"Final",Matches!$A:$A,"Group",Matches!$L:$L,$B25)+SUMIFS(Matches!$F:$F,Matches!$H:$H,$A25,Matches!$I:$I,"Final",Matches!$A:$A,"Group",Matches!$L:$L,$B25))</f>
        <v/>
      </c>
      <c r="R25" s="4">
        <f>IF($B25="",0,SUMIFS(Matches!$F:$F,Matches!$C:$C,$A25,Matches!$I:$I,"Final",Matches!$A:$A,"Group",Matches!$L:$L,$B25)+SUMIFS(Matches!$E:$E,Matches!$H:$H,$A25,Matches!$I:$I,"Final",Matches!$A:$A,"Group",Matches!$L:$L,$B25))</f>
        <v/>
      </c>
      <c r="S25" s="4">
        <f>Q25-R25</f>
        <v/>
      </c>
      <c r="T25" s="4">
        <f>3*N25+O25</f>
        <v/>
      </c>
      <c r="U25" s="4">
        <f>IF($B25="",0,IFERROR(MATCH($B25,Settings!$A$15:$A$22,0),0))</f>
        <v/>
      </c>
      <c r="V25" s="4">
        <f>IF(OR($A25="",U25=0),-1,U25*1000000000+T25*1000000+(MAX(-499,MIN(499,S25))+500)*1000+MIN(Q25,99)*10+(50-ROW())/10)</f>
        <v/>
      </c>
      <c r="W25" s="4">
        <f>IF($A25="",0,COUNTIF('Buy-ins'!$B:$B,$A25))</f>
        <v/>
      </c>
      <c r="X25" s="15">
        <f>IF($A25="",0,SUMIF('Buy-ins'!$B:$B,$A25,'Buy-ins'!$C:$C)+Settings!$B$3*COUNTIFS('Buy-ins'!$B:$B,$A25,'Buy-ins'!$C:$C,""))</f>
        <v/>
      </c>
      <c r="Y25" s="15">
        <f>IF($A25="","",'Cash-out'!G25)</f>
        <v/>
      </c>
      <c r="Z25" s="15">
        <f>IF(OR($A25="",Y25=""),"",Y25-X25)</f>
        <v/>
      </c>
      <c r="AA25" s="4">
        <f>IF(X25=0,-1,(IF(Z25="",0,Z25)+100000)*1000000+ROUND(X25*10,0)*10+(50-ROW())/10)</f>
        <v/>
      </c>
      <c r="AB25" s="4" t="n"/>
      <c r="AC25" s="4" t="n"/>
    </row>
    <row r="26">
      <c r="A26" s="4">
        <f>IF(TRIM(Players!A26)="","",TRIM(Players!A26))</f>
        <v/>
      </c>
      <c r="B26" s="4">
        <f>IF($A26="","",Players!B26&amp;"")</f>
        <v/>
      </c>
      <c r="C26" s="4">
        <f>Players!E26&amp;""</f>
        <v/>
      </c>
      <c r="D26" s="4">
        <f>IF($A26="",0,COUNTIFS(Matches!$C:$C,$A26,Matches!$I:$I,"Final",Matches!$A:$A,"&lt;&gt;Friendly")+COUNTIFS(Matches!$H:$H,$A26,Matches!$I:$I,"Final",Matches!$A:$A,"&lt;&gt;Friendly"))</f>
        <v/>
      </c>
      <c r="E26" s="4">
        <f>IF($A26="",0,COUNTIFS(Matches!$K:$K,$A26,Matches!$A:$A,"&lt;&gt;Friendly"))</f>
        <v/>
      </c>
      <c r="F26" s="4">
        <f>IF($A26="",0,COUNTIFS(Matches!$C:$C,$A26,Matches!$K:$K,"Draw",Matches!$A:$A,"&lt;&gt;Friendly")+COUNTIFS(Matches!$H:$H,$A26,Matches!$K:$K,"Draw",Matches!$A:$A,"&lt;&gt;Friendly"))</f>
        <v/>
      </c>
      <c r="G26" s="4">
        <f>D26-E26-F26</f>
        <v/>
      </c>
      <c r="H26" s="4">
        <f>IF($A26="",0,SUMIFS(Matches!$E:$E,Matches!$C:$C,$A26,Matches!$I:$I,"Final",Matches!$A:$A,"&lt;&gt;Friendly")+SUMIFS(Matches!$F:$F,Matches!$H:$H,$A26,Matches!$I:$I,"Final",Matches!$A:$A,"&lt;&gt;Friendly"))</f>
        <v/>
      </c>
      <c r="I26" s="4">
        <f>IF($A26="",0,SUMIFS(Matches!$F:$F,Matches!$C:$C,$A26,Matches!$I:$I,"Final",Matches!$A:$A,"&lt;&gt;Friendly")+SUMIFS(Matches!$E:$E,Matches!$H:$H,$A26,Matches!$I:$I,"Final",Matches!$A:$A,"&lt;&gt;Friendly"))</f>
        <v/>
      </c>
      <c r="J26" s="4">
        <f>H26-I26</f>
        <v/>
      </c>
      <c r="K26" s="4">
        <f>3*E26+F26</f>
        <v/>
      </c>
      <c r="L26" s="4">
        <f>IF(AND($A26&lt;&gt;"",OR($C26="Yes",D26&gt;0)),K26*1000000+(MAX(-499,MIN(499,J26))+500)*1000+MIN(H26,99)*10+(50-ROW())/10,-1)</f>
        <v/>
      </c>
      <c r="M26" s="4">
        <f>IF($B26="",0,COUNTIFS(Matches!$C:$C,$A26,Matches!$I:$I,"Final",Matches!$A:$A,"Group",Matches!$L:$L,$B26)+COUNTIFS(Matches!$H:$H,$A26,Matches!$I:$I,"Final",Matches!$A:$A,"Group",Matches!$L:$L,$B26))</f>
        <v/>
      </c>
      <c r="N26" s="4">
        <f>IF($B26="",0,COUNTIFS(Matches!$K:$K,$A26,Matches!$A:$A,"Group",Matches!$L:$L,$B26))</f>
        <v/>
      </c>
      <c r="O26" s="4">
        <f>IF($B26="",0,COUNTIFS(Matches!$C:$C,$A26,Matches!$K:$K,"Draw",Matches!$A:$A,"Group",Matches!$L:$L,$B26)+COUNTIFS(Matches!$H:$H,$A26,Matches!$K:$K,"Draw",Matches!$A:$A,"Group",Matches!$L:$L,$B26))</f>
        <v/>
      </c>
      <c r="P26" s="4">
        <f>M26-N26-O26</f>
        <v/>
      </c>
      <c r="Q26" s="4">
        <f>IF($B26="",0,SUMIFS(Matches!$E:$E,Matches!$C:$C,$A26,Matches!$I:$I,"Final",Matches!$A:$A,"Group",Matches!$L:$L,$B26)+SUMIFS(Matches!$F:$F,Matches!$H:$H,$A26,Matches!$I:$I,"Final",Matches!$A:$A,"Group",Matches!$L:$L,$B26))</f>
        <v/>
      </c>
      <c r="R26" s="4">
        <f>IF($B26="",0,SUMIFS(Matches!$F:$F,Matches!$C:$C,$A26,Matches!$I:$I,"Final",Matches!$A:$A,"Group",Matches!$L:$L,$B26)+SUMIFS(Matches!$E:$E,Matches!$H:$H,$A26,Matches!$I:$I,"Final",Matches!$A:$A,"Group",Matches!$L:$L,$B26))</f>
        <v/>
      </c>
      <c r="S26" s="4">
        <f>Q26-R26</f>
        <v/>
      </c>
      <c r="T26" s="4">
        <f>3*N26+O26</f>
        <v/>
      </c>
      <c r="U26" s="4">
        <f>IF($B26="",0,IFERROR(MATCH($B26,Settings!$A$15:$A$22,0),0))</f>
        <v/>
      </c>
      <c r="V26" s="4">
        <f>IF(OR($A26="",U26=0),-1,U26*1000000000+T26*1000000+(MAX(-499,MIN(499,S26))+500)*1000+MIN(Q26,99)*10+(50-ROW())/10)</f>
        <v/>
      </c>
      <c r="W26" s="4">
        <f>IF($A26="",0,COUNTIF('Buy-ins'!$B:$B,$A26))</f>
        <v/>
      </c>
      <c r="X26" s="15">
        <f>IF($A26="",0,SUMIF('Buy-ins'!$B:$B,$A26,'Buy-ins'!$C:$C)+Settings!$B$3*COUNTIFS('Buy-ins'!$B:$B,$A26,'Buy-ins'!$C:$C,""))</f>
        <v/>
      </c>
      <c r="Y26" s="15">
        <f>IF($A26="","",'Cash-out'!G26)</f>
        <v/>
      </c>
      <c r="Z26" s="15">
        <f>IF(OR($A26="",Y26=""),"",Y26-X26)</f>
        <v/>
      </c>
      <c r="AA26" s="4">
        <f>IF(X26=0,-1,(IF(Z26="",0,Z26)+100000)*1000000+ROUND(X26*10,0)*10+(50-ROW())/10)</f>
        <v/>
      </c>
      <c r="AB26" s="4" t="n"/>
      <c r="AC2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2026-10-17T18:48:42Z</dcterms:created>
  <dcterms:modified xmlns:dcterms="http://purl.org/dc/terms/" xmlns:xsi="http://www.w3.org/2001/XMLSchema-instance" xsi:type="dcterms:W3CDTF">2026-10-17T18:48:42Z</dcterms:modified>
</cp:coreProperties>
</file>